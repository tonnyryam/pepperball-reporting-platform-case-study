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85cf7595741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b0455644bc8472e"/>
    <x:sheet xmlns:r="http://schemas.openxmlformats.org/officeDocument/2006/relationships" name="Recovery Trace" sheetId="2" r:id="R0d5ad9a9b01f46aa"/>
    <x:sheet xmlns:r="http://schemas.openxmlformats.org/officeDocument/2006/relationships" name="Operational Use" sheetId="3" r:id="R29eda74b27314fac"/>
    <x:sheet xmlns:r="http://schemas.openxmlformats.org/officeDocument/2006/relationships" name="Intelligence Evidence" sheetId="4" r:id="R5b67e01bad8a4e87"/>
    <x:sheet xmlns:r="http://schemas.openxmlformats.org/officeDocument/2006/relationships" name="Source Lineage" sheetId="5" r:id="Re2126a2befbf44f6"/>
    <x:sheet xmlns:r="http://schemas.openxmlformats.org/officeDocument/2006/relationships" name="Exception Review" sheetId="6" r:id="R55ff62d0fab04a36"/>
    <x:sheet xmlns:r="http://schemas.openxmlformats.org/officeDocument/2006/relationships" name="Impact Model" sheetId="7" r:id="Rbded34eb152345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0"/>
    <x:numFmt numFmtId="202" formatCode="#,##0"/>
    <x:numFmt numFmtId="203" formatCode="$#,##0"/>
    <x:numFmt numFmtId="204" formatCode="0%"/>
  </x:numFmts>
  <x:fonts count="26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  <x:font>
      <x:b/>
      <x:sz val="21"/>
      <x:color rgb="FFFFFFFF"/>
      <x:name val="Carlito"/>
    </x:font>
    <x:font>
      <x:sz val="13"/>
      <x:color rgb="FF171717"/>
      <x:name val="Carlito"/>
    </x:font>
    <x:font>
      <x:i/>
      <x:sz val="11"/>
      <x:color rgb="FF626262"/>
      <x:name val="Carlito"/>
    </x:font>
    <x:font>
      <x:b/>
      <x:sz val="11"/>
      <x:color rgb="FF17171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</x:fills>
  <x:borders count="9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  <x:border>
      <x:left style="thin">
        <x:color rgb="FFD0D0CD"/>
      </x:left>
      <x:right style="thin">
        <x:color rgb="FFD0D0CD"/>
      </x:right>
      <x:top style="thin">
        <x:color rgb="FFD0D0CD"/>
      </x:top>
      <x:bottom style="thin">
        <x:color rgb="FFD0D0CD"/>
      </x:bottom>
    </x:border>
  </x:borders>
  <x:cellStyleXfs count="1">
    <x:xf numFmtId="0" fontId="0" fillId="0" borderId="0"/>
  </x:cellStyleXfs>
  <x:cellXfs count="1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8" fillId="20" borderId="0" xfId="0" applyNumberFormat="1" applyFont="1" applyFill="1" applyBorder="1"/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/>
    <x:xf numFmtId="0" fontId="23" fillId="20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3" fillId="20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0" fontId="18" fillId="23" borderId="0" xfId="0" applyNumberFormat="1" applyFont="1" applyFill="1" applyBorder="1"/>
    <x:xf numFmtId="0" fontId="18" fillId="23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25" fillId="23" borderId="0" xfId="0" applyNumberFormat="1" applyFont="1" applyFill="1" applyBorder="1"/>
    <x:xf numFmtId="0" fontId="25" fillId="23" borderId="0" xfId="0" applyNumberFormat="1" applyFont="1" applyFill="1" applyBorder="1" applyAlignment="1">
      <x:alignment wrapText="1"/>
    </x:xf>
    <x:xf numFmtId="0" fontId="0" fillId="26" borderId="8" xfId="0" applyNumberFormat="1" applyFont="1" applyFill="1" applyBorder="1"/>
    <x:xf numFmtId="201" fontId="0" fillId="26" borderId="8" xfId="0" applyNumberFormat="1" applyFont="1" applyFill="1" applyBorder="1"/>
    <x:xf numFmtId="0" fontId="0" fillId="23" borderId="8" xfId="0" applyNumberFormat="1" applyFont="1" applyFill="1" applyBorder="1"/>
    <x:xf numFmtId="0" fontId="0" fillId="23" borderId="8" xfId="0" applyNumberFormat="1" applyFont="1" applyFill="1" applyBorder="1" applyAlignment="1">
      <x:alignment wrapText="1"/>
    </x:xf>
    <x:xf numFmtId="202" fontId="0" fillId="23" borderId="8" xfId="0" applyNumberFormat="1" applyFont="1" applyFill="1" applyBorder="1" applyAlignment="1">
      <x:alignment wrapText="1"/>
    </x:xf>
    <x:xf numFmtId="203" fontId="0" fillId="23" borderId="8" xfId="0" applyNumberFormat="1" applyFont="1" applyFill="1" applyBorder="1" applyAlignment="1">
      <x:alignment wrapText="1"/>
    </x:xf>
    <x:xf numFmtId="204" fontId="0" fillId="23" borderId="8" xfId="0" applyNumberFormat="1" applyFont="1" applyFill="1" applyBorder="1" applyAlignment="1">
      <x:alignment wrapText="1"/>
    </x:xf>
    <x:xf numFmtId="203" fontId="3" fillId="24" borderId="0" xfId="0" applyNumberFormat="1" applyFont="1" applyFill="1" applyBorder="1" applyAlignment="1">
      <x:alignment wrapText="1"/>
    </x:xf>
    <x:xf numFmtId="0" fontId="24" fillId="23" borderId="0" xfId="0" applyNumberFormat="1" applyFont="1" applyFill="1" applyBorder="1" applyAlignment="1">
      <x:alignment vertical="center" wrapText="1"/>
    </x:xf>
    <x:xf numFmtId="0" fontId="0" fillId="9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a9f294113f469d" /><Relationship Type="http://schemas.openxmlformats.org/officeDocument/2006/relationships/theme" Target="/xl/theme/theme1.xml" Id="R97dc93f87c0943fb" /><Relationship Type="http://schemas.openxmlformats.org/officeDocument/2006/relationships/sharedStrings" Target="/xl/sharedStrings.xml" Id="Rc07c3d3b8b5548a1" /><Relationship Type="http://schemas.openxmlformats.org/officeDocument/2006/relationships/worksheet" Target="/xl/worksheets/sheet1.xml" Id="R4b0455644bc8472e" /><Relationship Type="http://schemas.openxmlformats.org/officeDocument/2006/relationships/worksheet" Target="/xl/worksheets/sheet2.xml" Id="R0d5ad9a9b01f46aa" /><Relationship Type="http://schemas.openxmlformats.org/officeDocument/2006/relationships/worksheet" Target="/xl/worksheets/sheet3.xml" Id="R29eda74b27314fac" /><Relationship Type="http://schemas.openxmlformats.org/officeDocument/2006/relationships/worksheet" Target="/xl/worksheets/sheet4.xml" Id="R5b67e01bad8a4e87" /><Relationship Type="http://schemas.openxmlformats.org/officeDocument/2006/relationships/worksheet" Target="/xl/worksheets/sheet5.xml" Id="Re2126a2befbf44f6" /><Relationship Type="http://schemas.openxmlformats.org/officeDocument/2006/relationships/worksheet" Target="/xl/worksheets/sheet6.xml" Id="R55ff62d0fab04a36" /><Relationship Type="http://schemas.openxmlformats.org/officeDocument/2006/relationships/worksheet" Target="/xl/worksheets/sheet7.xml" Id="Rbded34eb152345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27" t="str">
        <x:v>Operational intelligence — synthetic evidence and boundaries</x:v>
      </x:c>
      <x:c r="B1" s="127"/>
      <x:c r="C1" s="127"/>
      <x:c r="D1" s="127"/>
      <x:c r="E1" s="127"/>
      <x:c r="F1" s="127"/>
      <x:c r="G1" s="127"/>
      <x:c r="H1" s="127"/>
    </x:row>
    <x:row r="2">
      <x:c r="A2" s="127"/>
      <x:c r="B2" s="127"/>
      <x:c r="C2" s="127"/>
      <x:c r="D2" s="127"/>
      <x:c r="E2" s="127"/>
      <x:c r="F2" s="127"/>
      <x:c r="G2" s="127"/>
      <x:c r="H2" s="127"/>
    </x:row>
    <x:row r="3">
      <x:c r="A3" s="129" t="str">
        <x:v>Portfolio demonstration only — no production connection or autonomous decisions.</x:v>
      </x:c>
      <x:c r="B3" s="129"/>
      <x:c r="C3" s="129"/>
      <x:c r="D3" s="129"/>
      <x:c r="E3" s="129"/>
      <x:c r="F3" s="129"/>
      <x:c r="G3" s="129"/>
      <x:c r="H3" s="129"/>
    </x:row>
    <x:row r="5">
      <x:c r="A5" s="131" t="str">
        <x:v>INTERFACE</x:v>
      </x:c>
      <x:c r="B5" s="131" t="str"/>
      <x:c r="C5" s="131" t="str">
        <x:v>CURRENT PURPOSE</x:v>
      </x:c>
      <x:c r="D5" s="131" t="str"/>
      <x:c r="E5" s="131" t="str">
        <x:v>VALIDATED BOUNDARY</x:v>
      </x:c>
      <x:c r="F5" s="131" t="str"/>
      <x:c r="G5" s="131" t="str">
        <x:v>VALUE SIGNAL</x:v>
      </x:c>
      <x:c r="H5" s="131" t="str"/>
    </x:row>
    <x:row r="6" ht="46" customHeight="1">
      <x:c r="A6" s="135" t="str">
        <x:v>Chatbot</x:v>
      </x:c>
      <x:c r="B6" s="135" t="str"/>
      <x:c r="C6" s="135" t="str">
        <x:v>Source-grounded report retrieval</x:v>
      </x:c>
      <x:c r="D6" s="135" t="str"/>
      <x:c r="E6" s="135" t="str">
        <x:v>Citations + deterministic fallback</x:v>
      </x:c>
      <x:c r="F6" s="135" t="str"/>
      <x:c r="G6" s="135" t="str">
        <x:v>Estimated ~90% faster retrieval</x:v>
      </x:c>
      <x:c r="H6" s="135" t="str"/>
    </x:row>
    <x:row r="7" ht="46" customHeight="1">
      <x:c r="A7" s="135" t="str">
        <x:v>Report doctor</x:v>
      </x:c>
      <x:c r="B7" s="135" t="str"/>
      <x:c r="C7" s="135" t="str">
        <x:v>Expected-output and exception diagnostics</x:v>
      </x:c>
      <x:c r="D7" s="135" t="str"/>
      <x:c r="E7" s="135" t="str">
        <x:v>Read-only; no repair or publication</x:v>
      </x:c>
      <x:c r="F7" s="135" t="str"/>
      <x:c r="G7" s="135" t="str">
        <x:v>Faster investigation</x:v>
      </x:c>
      <x:c r="H7" s="135" t="str"/>
    </x:row>
    <x:row r="8" ht="46" customHeight="1">
      <x:c r="A8" s="135" t="str">
        <x:v>Governed oracle</x:v>
      </x:c>
      <x:c r="B8" s="135" t="str"/>
      <x:c r="C8" s="135" t="str">
        <x:v>Contract-bound interpretation and validation</x:v>
      </x:c>
      <x:c r="D8" s="135" t="str"/>
      <x:c r="E8" s="135" t="str">
        <x:v>Missing/ambiguous evidence fails closed</x:v>
      </x:c>
      <x:c r="F8" s="135" t="str"/>
      <x:c r="G8" s="135" t="str">
        <x:v>Consistent evidence checks</x:v>
      </x:c>
      <x:c r="H8" s="135" t="str"/>
    </x:row>
    <x:row r="10" ht="32" customHeight="1">
      <x:c r="A10" s="143" t="str">
        <x:v>The interface sheet intentionally contains no impact calculations; those live once in Impact Model.</x:v>
      </x:c>
      <x:c r="B10" s="143"/>
      <x:c r="C10" s="143"/>
      <x:c r="D10" s="143"/>
      <x:c r="E10" s="143"/>
      <x:c r="F10" s="143"/>
      <x:c r="G10" s="143"/>
      <x:c r="H10" s="143"/>
    </x:row>
    <x:row r="11" ht="28" customHeight="1">
      <x:c r="A11"/>
      <x:c r="B11"/>
      <x:c r="C11"/>
      <x:c r="D11"/>
      <x:c r="E11"/>
      <x:c r="F11"/>
      <x:c r="G11"/>
      <x:c r="H11"/>
    </x:row>
    <x:row r="12" ht="28" customHeight="1">
      <x:c r="A12"/>
      <x:c r="B12"/>
      <x:c r="C12"/>
      <x:c r="D12"/>
      <x:c r="E12"/>
      <x:c r="F12"/>
      <x:c r="G12"/>
      <x:c r="H12"/>
    </x:row>
    <x:row r="13" ht="28" customHeight="1">
      <x:c r="A13"/>
      <x:c r="B13"/>
      <x:c r="C13"/>
      <x:c r="D13"/>
      <x:c r="E13"/>
      <x:c r="F13"/>
      <x:c r="G13"/>
      <x:c r="H13"/>
    </x:row>
    <x:row r="14" ht="28" customHeight="1">
      <x:c r="A14"/>
      <x:c r="B14"/>
      <x:c r="C14"/>
      <x:c r="D14"/>
      <x:c r="E14"/>
      <x:c r="F14"/>
      <x:c r="G14"/>
      <x:c r="H14"/>
    </x:row>
    <x:row r="16">
      <x:c r="A16"/>
      <x:c r="B16"/>
      <x:c r="C16"/>
      <x:c r="D16"/>
      <x:c r="E16"/>
      <x:c r="F16"/>
      <x:c r="G16"/>
      <x:c r="H16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10:H10"/>
    <x:mergeCell ref="A11:H14"/>
    <x:mergeCell ref="A16:H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Source lineage - synthetic trace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A compact inspection path from governed input to prepared output. No production identifiers.</x:v>
      </x:c>
      <x:c r="B3" s="148"/>
      <x:c r="C3" s="148"/>
      <x:c r="D3" s="148"/>
      <x:c r="E3" s="148"/>
      <x:c r="F3" s="148"/>
      <x:c r="G3" s="148"/>
      <x:c r="H3" s="148"/>
    </x:row>
    <x:row r="5" ht="36" customHeight="1">
      <x:c r="A5" s="151" t="str">
        <x:v>TRACE ID</x:v>
      </x:c>
      <x:c r="B5" s="151" t="str">
        <x:v>SOURCE CATEGORY</x:v>
      </x:c>
      <x:c r="C5" s="151" t="str">
        <x:v>SOURCE FACT</x:v>
      </x:c>
      <x:c r="D5" s="151" t="str">
        <x:v>TRANSFORMATION</x:v>
      </x:c>
      <x:c r="E5" s="151" t="str">
        <x:v>REPORT FIELD</x:v>
      </x:c>
      <x:c r="F5" s="151" t="str">
        <x:v>OUTPUT</x:v>
      </x:c>
      <x:c r="G5" s="151" t="str">
        <x:v>EVIDENCE STATE</x:v>
      </x:c>
      <x:c r="H5" s="151" t="str">
        <x:v>REVIEW QUESTION</x:v>
      </x:c>
    </x:row>
    <x:row r="6" ht="56" customHeight="1">
      <x:c r="A6" s="155" t="str">
        <x:v>TR-001</x:v>
      </x:c>
      <x:c r="B6" s="155" t="str">
        <x:v>Hourly production</x:v>
      </x:c>
      <x:c r="C6" s="155" t="str">
        <x:v>1,240 good widgets</x:v>
      </x:c>
      <x:c r="D6" s="155" t="str">
        <x:v>Normalize + reconcile</x:v>
      </x:c>
      <x:c r="E6" s="155" t="str">
        <x:v>Good widgets</x:v>
      </x:c>
      <x:c r="F6" s="155" t="str">
        <x:v>Daily Production</x:v>
      </x:c>
      <x:c r="G6" s="155" t="str">
        <x:v>certified</x:v>
      </x:c>
      <x:c r="H6" s="155" t="str">
        <x:v>Does the total conserve source rows?</x:v>
      </x:c>
    </x:row>
    <x:row r="7" ht="56" customHeight="1">
      <x:c r="A7" s="155" t="str">
        <x:v>TR-002</x:v>
      </x:c>
      <x:c r="B7" s="155" t="str">
        <x:v>Quality</x:v>
      </x:c>
      <x:c r="C7" s="155" t="str">
        <x:v>12 rejected widgets</x:v>
      </x:c>
      <x:c r="D7" s="155" t="str">
        <x:v>Preserve observed zero/missing semantics</x:v>
      </x:c>
      <x:c r="E7" s="155" t="str">
        <x:v>Reject widgets</x:v>
      </x:c>
      <x:c r="F7" s="155" t="str">
        <x:v>Daily Production</x:v>
      </x:c>
      <x:c r="G7" s="155" t="str">
        <x:v>certified</x:v>
      </x:c>
      <x:c r="H7" s="155" t="str">
        <x:v>Is missing evidence distinct from zero?</x:v>
      </x:c>
    </x:row>
    <x:row r="8" ht="56" customHeight="1">
      <x:c r="A8" s="155" t="str">
        <x:v>TR-003</x:v>
      </x:c>
      <x:c r="B8" s="155" t="str">
        <x:v>Machine event</x:v>
      </x:c>
      <x:c r="C8" s="155" t="str">
        <x:v>18-minute downtime</x:v>
      </x:c>
      <x:c r="D8" s="155" t="str">
        <x:v>Classify event + link machine</x:v>
      </x:c>
      <x:c r="E8" s="155" t="str">
        <x:v>Downtime minutes</x:v>
      </x:c>
      <x:c r="F8" s="155" t="str">
        <x:v>Weekly Downtime</x:v>
      </x:c>
      <x:c r="G8" s="155" t="str">
        <x:v>read back</x:v>
      </x:c>
      <x:c r="H8" s="155" t="str">
        <x:v>Does remote content match the candidate?</x:v>
      </x:c>
    </x:row>
    <x:row r="9" ht="56" customHeight="1">
      <x:c r="A9" s="155" t="str">
        <x:v>TR-004</x:v>
      </x:c>
      <x:c r="B9" s="155" t="str">
        <x:v>Labor note</x:v>
      </x:c>
      <x:c r="C9" s="155" t="str">
        <x:v>Shift context entered</x:v>
      </x:c>
      <x:c r="D9" s="155" t="str">
        <x:v>Attach source lineage</x:v>
      </x:c>
      <x:c r="E9" s="155" t="str">
        <x:v>Supervisor context</x:v>
      </x:c>
      <x:c r="F9" s="155" t="str">
        <x:v>Shift Draft</x:v>
      </x:c>
      <x:c r="G9" s="155" t="str">
        <x:v>human review</x:v>
      </x:c>
      <x:c r="H9" s="155" t="str">
        <x:v>What operational context must be added?</x:v>
      </x:c>
    </x:row>
    <x:row r="11" ht="36" customHeight="1">
      <x:c r="A11" s="157" t="str">
        <x:v>Inspection rule: an output may advance only when identity, source lineage, semantics, publication state, and readback evidence agree.</x:v>
      </x:c>
      <x:c r="B11" s="157"/>
      <x:c r="C11" s="157"/>
      <x:c r="D11" s="157"/>
      <x:c r="E11" s="157"/>
      <x:c r="F11" s="157"/>
      <x:c r="G11" s="157"/>
      <x:c r="H11" s="157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Exception review - synthetic operator cases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Examples show what the system surfaces and what remains a human decision.</x:v>
      </x:c>
      <x:c r="B3" s="148"/>
      <x:c r="C3" s="148"/>
      <x:c r="D3" s="148"/>
      <x:c r="E3" s="148"/>
      <x:c r="F3" s="148"/>
      <x:c r="G3" s="148"/>
      <x:c r="H3" s="148"/>
    </x:row>
    <x:row r="5" ht="38" customHeight="1">
      <x:c r="A5" s="151" t="str">
        <x:v>CASE</x:v>
      </x:c>
      <x:c r="B5" s="151" t="str">
        <x:v>OBSERVED CONDITION</x:v>
      </x:c>
      <x:c r="C5" s="151" t="str">
        <x:v>SYSTEM CLASSIFICATION</x:v>
      </x:c>
      <x:c r="D5" s="151" t="str">
        <x:v>AUTOMATED BEHAVIOR</x:v>
      </x:c>
      <x:c r="E5" s="151" t="str">
        <x:v>HUMAN REVIEW</x:v>
      </x:c>
      <x:c r="F5" s="151" t="str">
        <x:v>WRITE AUTHORITY</x:v>
      </x:c>
      <x:c r="G5" s="151" t="str">
        <x:v>SAFE OUTCOME</x:v>
      </x:c>
      <x:c r="H5" s="151" t="str">
        <x:v>WHY IT MATTERS</x:v>
      </x:c>
    </x:row>
    <x:row r="6" ht="64" customHeight="1">
      <x:c r="A6" s="155" t="str">
        <x:v>EX-01</x:v>
      </x:c>
      <x:c r="B6" s="155" t="str">
        <x:v>Required source absent</x:v>
      </x:c>
      <x:c r="C6" s="155" t="str">
        <x:v>pending_source</x:v>
      </x:c>
      <x:c r="D6" s="155" t="str">
        <x:v>Retain expected output; do not publish</x:v>
      </x:c>
      <x:c r="E6" s="155" t="str">
        <x:v>Confirm source arrival or operational exception</x:v>
      </x:c>
      <x:c r="F6" s="155" t="str">
        <x:v>None</x:v>
      </x:c>
      <x:c r="G6" s="155" t="str">
        <x:v>Missing remains missing</x:v>
      </x:c>
      <x:c r="H6" s="155" t="str">
        <x:v>Prevents invented zeros</x:v>
      </x:c>
    </x:row>
    <x:row r="7" ht="64" customHeight="1">
      <x:c r="A7" s="155" t="str">
        <x:v>EX-02</x:v>
      </x:c>
      <x:c r="B7" s="155" t="str">
        <x:v>Equivalent replay</x:v>
      </x:c>
      <x:c r="C7" s="155" t="str">
        <x:v>exact_no_op</x:v>
      </x:c>
      <x:c r="D7" s="155" t="str">
        <x:v>Compare governed material identity</x:v>
      </x:c>
      <x:c r="E7" s="155" t="str">
        <x:v>No action unless context changed</x:v>
      </x:c>
      <x:c r="F7" s="155" t="str">
        <x:v>None</x:v>
      </x:c>
      <x:c r="G7" s="155" t="str">
        <x:v>Zero second write</x:v>
      </x:c>
      <x:c r="H7" s="155" t="str">
        <x:v>Avoids duplicate versions</x:v>
      </x:c>
    </x:row>
    <x:row r="8" ht="64" customHeight="1">
      <x:c r="A8" s="155" t="str">
        <x:v>EX-03</x:v>
      </x:c>
      <x:c r="B8" s="155" t="str">
        <x:v>Write accepted; response lost</x:v>
      </x:c>
      <x:c r="C8" s="155" t="str">
        <x:v>readback_pending</x:v>
      </x:c>
      <x:c r="D8" s="155" t="str">
        <x:v>GET exact item; never repeat PUT</x:v>
      </x:c>
      <x:c r="E8" s="155" t="str">
        <x:v>Review only if readback disagrees</x:v>
      </x:c>
      <x:c r="F8" s="155" t="str">
        <x:v>GET only</x:v>
      </x:c>
      <x:c r="G8" s="155" t="str">
        <x:v>Settle or fail closed</x:v>
      </x:c>
      <x:c r="H8" s="155" t="str">
        <x:v>Bounds ambiguity</x:v>
      </x:c>
    </x:row>
    <x:row r="9" ht="64" customHeight="1">
      <x:c r="A9" s="155" t="str">
        <x:v>EX-04</x:v>
      </x:c>
      <x:c r="B9" s="155" t="str">
        <x:v>Contract or lineage drift</x:v>
      </x:c>
      <x:c r="C9" s="155" t="str">
        <x:v>contract_refusal</x:v>
      </x:c>
      <x:c r="D9" s="155" t="str">
        <x:v>Stop interpretation/publication</x:v>
      </x:c>
      <x:c r="E9" s="155" t="str">
        <x:v>Investigate configuration or source change</x:v>
      </x:c>
      <x:c r="F9" s="155" t="str">
        <x:v>None</x:v>
      </x:c>
      <x:c r="G9" s="155" t="str">
        <x:v>Explicit refusal</x:v>
      </x:c>
      <x:c r="H9" s="155" t="str">
        <x:v>Prevents silent semantic drift</x:v>
      </x:c>
    </x:row>
    <x:row r="11" ht="38" customHeight="1">
      <x:c r="A11" s="159" t="str">
        <x:v>Decision boundary: the platform prepares, classifies, and refuses. Supervisors and managers interpret context and choose operational action.</x:v>
      </x:c>
      <x:c r="B11" s="159"/>
      <x:c r="C11" s="159"/>
      <x:c r="D11" s="159"/>
      <x:c r="E11" s="159"/>
      <x:c r="F11" s="159"/>
      <x:c r="G11" s="159"/>
      <x:c r="H11" s="159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Impact model - editable assumptions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Planning scenarios only. Inputs are editable; outputs are formulas, not booked results.</x:v>
      </x:c>
      <x:c r="B3" s="148"/>
      <x:c r="C3" s="148"/>
      <x:c r="D3" s="148"/>
      <x:c r="E3" s="148"/>
      <x:c r="F3" s="148"/>
      <x:c r="G3" s="148"/>
      <x:c r="H3" s="148"/>
    </x:row>
    <x:row r="5">
      <x:c r="A5" s="150" t="str">
        <x:v>MODEL</x:v>
      </x:c>
      <x:c r="B5" s="150" t="str">
        <x:v>INPUT</x:v>
      </x:c>
      <x:c r="C5" s="150" t="str">
        <x:v>VALUE</x:v>
      </x:c>
      <x:c r="D5" s="150" t="str">
        <x:v>UNIT</x:v>
      </x:c>
      <x:c r="F5" s="156" t="str">
        <x:v>OUTPUT</x:v>
      </x:c>
      <x:c r="G5" s="156" t="str">
        <x:v>FORMULA</x:v>
      </x:c>
      <x:c r="H5" s="156" t="str">
        <x:v>RESULT</x:v>
      </x:c>
    </x:row>
    <x:row r="6" ht="34" customHeight="1">
      <x:c r="A6" s="160" t="str">
        <x:v>Labor</x:v>
      </x:c>
      <x:c r="B6" s="160" t="str">
        <x:v>Supervisor hours/week</x:v>
      </x:c>
      <x:c r="C6" s="161" t="n">
        <x:v>20</x:v>
      </x:c>
      <x:c r="D6" s="160" t="str">
        <x:v>hours</x:v>
      </x:c>
      <x:c r="F6" s="163" t="str">
        <x:v>Labor hours/year</x:v>
      </x:c>
      <x:c r="G6" s="169" t="str">
        <x:v>(20 + 10) hours × 52 weeks</x:v>
      </x:c>
      <x:c r="H6" s="164" t="n">
        <x:f>(C6+C7)*C8</x:f>
        <x:v>1560</x:v>
      </x:c>
    </x:row>
    <x:row r="7" ht="34" customHeight="1">
      <x:c r="A7" s="160" t="str">
        <x:v>Labor</x:v>
      </x:c>
      <x:c r="B7" s="160" t="str">
        <x:v>Manager hours/week</x:v>
      </x:c>
      <x:c r="C7" s="161" t="n">
        <x:v>10</x:v>
      </x:c>
      <x:c r="D7" s="160" t="str">
        <x:v>hours</x:v>
      </x:c>
      <x:c r="F7" s="163" t="str">
        <x:v>Modeled labor value</x:v>
      </x:c>
      <x:c r="G7" s="169" t="str">
        <x:v>Labor hours × $33.33/hour</x:v>
      </x:c>
      <x:c r="H7" s="165" t="n">
        <x:f>H6*C9</x:f>
        <x:v>51994.799999999996</x:v>
      </x:c>
    </x:row>
    <x:row r="8" ht="34" customHeight="1">
      <x:c r="A8" s="160" t="str">
        <x:v>Labor</x:v>
      </x:c>
      <x:c r="B8" s="160" t="str">
        <x:v>Weeks/year</x:v>
      </x:c>
      <x:c r="C8" s="161" t="n">
        <x:v>52</x:v>
      </x:c>
      <x:c r="D8" s="160" t="str">
        <x:v>weeks</x:v>
      </x:c>
      <x:c r="F8" s="163" t="str">
        <x:v>Estimated retrieval reduction</x:v>
      </x:c>
      <x:c r="G8" s="169" t="str">
        <x:v>(25 minutes - 2 minutes) ÷ 25 minutes</x:v>
      </x:c>
      <x:c r="H8" s="166" t="n">
        <x:f>(C10-C11)/C10</x:f>
        <x:v>0.92</x:v>
      </x:c>
    </x:row>
    <x:row r="9" ht="34" customHeight="1">
      <x:c r="A9" s="160" t="str">
        <x:v>Labor</x:v>
      </x:c>
      <x:c r="B9" s="160" t="str">
        <x:v>Blended hourly value</x:v>
      </x:c>
      <x:c r="C9" s="161" t="n">
        <x:v>33.33</x:v>
      </x:c>
      <x:c r="D9" s="160" t="str">
        <x:v>$/hour</x:v>
      </x:c>
      <x:c r="F9" s="163" t="str">
        <x:v>Widget opportunity</x:v>
      </x:c>
      <x:c r="G9" s="169" t="str">
        <x:v>5 minutes ÷ 60 × 1,000 × 52.5 × 52</x:v>
      </x:c>
      <x:c r="H9" s="164" t="n">
        <x:f>C12/60*C13*C14*C15</x:f>
        <x:v>227500</x:v>
      </x:c>
    </x:row>
    <x:row r="10">
      <x:c r="A10" s="160" t="str">
        <x:v>Retrieval</x:v>
      </x:c>
      <x:c r="B10" s="160" t="str">
        <x:v>Baseline search</x:v>
      </x:c>
      <x:c r="C10" s="161" t="n">
        <x:v>25</x:v>
      </x:c>
      <x:c r="D10" s="160" t="str">
        <x:v>minutes</x:v>
      </x:c>
      <x:c r="G10" s="170"/>
    </x:row>
    <x:row r="11" ht="36" customHeight="1">
      <x:c r="A11" s="160" t="str">
        <x:v>Retrieval</x:v>
      </x:c>
      <x:c r="B11" s="160" t="str">
        <x:v>Bounded retrieval</x:v>
      </x:c>
      <x:c r="C11" s="161" t="n">
        <x:v>2</x:v>
      </x:c>
      <x:c r="D11" s="160" t="str">
        <x:v>minutes</x:v>
      </x:c>
      <x:c r="F11" s="157" t="str">
        <x:v>Contribution-margin opportunity</x:v>
      </x:c>
      <x:c r="G11" s="99" t="str">
        <x:v>Widget opportunity × $0.90/widget</x:v>
      </x:c>
      <x:c r="H11" s="167" t="n">
        <x:f>H9*C16</x:f>
        <x:v>204750</x:v>
      </x:c>
    </x:row>
    <x:row r="12">
      <x:c r="A12" s="160" t="str">
        <x:v>Downtime</x:v>
      </x:c>
      <x:c r="B12" s="160" t="str">
        <x:v>Response improvement</x:v>
      </x:c>
      <x:c r="C12" s="161" t="n">
        <x:v>5</x:v>
      </x:c>
      <x:c r="D12" s="160" t="str">
        <x:v>minutes</x:v>
      </x:c>
    </x:row>
    <x:row r="13" ht="30" customHeight="1">
      <x:c r="A13" s="160" t="str">
        <x:v>Downtime</x:v>
      </x:c>
      <x:c r="B13" s="160" t="str">
        <x:v>Throughput</x:v>
      </x:c>
      <x:c r="C13" s="161" t="n">
        <x:v>1000</x:v>
      </x:c>
      <x:c r="D13" s="160" t="str">
        <x:v>widgets/hour/machine</x:v>
      </x:c>
      <x:c r="F13" s="168" t="str">
        <x:v>Limitations: representative time study, role-rate assumptions, event frequency, throughput, response improvement, and margin are scenario inputs. Outputs are not realized savings, guaranteed production, or autonomous outcomes.</x:v>
      </x:c>
      <x:c r="G13" s="168"/>
      <x:c r="H13" s="168"/>
    </x:row>
    <x:row r="14" ht="30" customHeight="1">
      <x:c r="A14" s="160" t="str">
        <x:v>Downtime</x:v>
      </x:c>
      <x:c r="B14" s="160" t="str">
        <x:v>Events/week</x:v>
      </x:c>
      <x:c r="C14" s="161" t="n">
        <x:v>52.5</x:v>
      </x:c>
      <x:c r="D14" s="160" t="str">
        <x:v>events</x:v>
      </x:c>
      <x:c r="F14" s="168"/>
      <x:c r="G14" s="168"/>
      <x:c r="H14" s="168"/>
    </x:row>
    <x:row r="15" ht="30" customHeight="1">
      <x:c r="A15" s="160" t="str">
        <x:v>Downtime</x:v>
      </x:c>
      <x:c r="B15" s="160" t="str">
        <x:v>Weeks/year</x:v>
      </x:c>
      <x:c r="C15" s="161" t="n">
        <x:v>52</x:v>
      </x:c>
      <x:c r="D15" s="160" t="str">
        <x:v>weeks</x:v>
      </x:c>
      <x:c r="F15" s="168"/>
      <x:c r="G15" s="168"/>
      <x:c r="H15" s="168"/>
    </x:row>
    <x:row r="16">
      <x:c r="A16" s="160" t="str">
        <x:v>Downtime</x:v>
      </x:c>
      <x:c r="B16" s="160" t="str">
        <x:v>Contribution margin</x:v>
      </x:c>
      <x:c r="C16" s="161" t="n">
        <x:v>0.9</x:v>
      </x:c>
      <x:c r="D16" s="160" t="str">
        <x:v>$/widget</x:v>
      </x:c>
    </x:row>
  </x:sheetData>
  <x:mergeCells>
    <x:mergeCell ref="A1:H2"/>
    <x:mergeCell ref="A3:H3"/>
    <x:mergeCell ref="F13:H15"/>
  </x:mergeCells>
  <x:pageMargins left="0.7" right="0.7" top="0.75" bottom="0.75" header="0.3" footer="0.3"/>
</x:worksheet>
</file>