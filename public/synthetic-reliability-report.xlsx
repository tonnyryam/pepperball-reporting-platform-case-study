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d60e8f224f4c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bbf4d136fcd4b9e"/>
    <x:sheet xmlns:r="http://schemas.openxmlformats.org/officeDocument/2006/relationships" name="Recovery Trace" sheetId="2" r:id="R36267d3954da4346"/>
    <x:sheet xmlns:r="http://schemas.openxmlformats.org/officeDocument/2006/relationships" name="Operational Use" sheetId="3" r:id="Rc3da8799cb9249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</x:fonts>
  <x:fills count="16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</x:fills>
  <x:borders count="8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</x:borders>
  <x:cellStyleXfs count="1">
    <x:xf numFmtId="0" fontId="0" fillId="0" borderId="0"/>
  </x:cellStyleXfs>
  <x:cellXfs count="1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8f10aef55f4e76" /><Relationship Type="http://schemas.openxmlformats.org/officeDocument/2006/relationships/theme" Target="/xl/theme/theme1.xml" Id="R6dfe37d254b144ac" /><Relationship Type="http://schemas.openxmlformats.org/officeDocument/2006/relationships/sharedStrings" Target="/xl/sharedStrings.xml" Id="R7274da3d2e5a4359" /><Relationship Type="http://schemas.openxmlformats.org/officeDocument/2006/relationships/worksheet" Target="/xl/worksheets/sheet1.xml" Id="R4bbf4d136fcd4b9e" /><Relationship Type="http://schemas.openxmlformats.org/officeDocument/2006/relationships/worksheet" Target="/xl/worksheets/sheet2.xml" Id="R36267d3954da4346" /><Relationship Type="http://schemas.openxmlformats.org/officeDocument/2006/relationships/worksheet" Target="/xl/worksheets/sheet3.xml" Id="Rc3da8799cb9249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4" t="str">
        <x:v>MEASURED ENGINEERING RESULTS</x:v>
      </x:c>
      <x:c r="B13" s="114"/>
      <x:c r="C13" s="114"/>
      <x:c r="D13" s="114"/>
      <x:c r="E13" s="114" t="str">
        <x:v>ESTIMATED / MODELED OPPORTUNITIES</x:v>
      </x:c>
      <x:c r="F13" s="114"/>
      <x:c r="G13" s="114"/>
      <x:c r="H13" s="114"/>
    </x:row>
    <x:row r="14" ht="30" customHeight="1">
      <x:c r="A14" s="115" t="str">
        <x:v>94.6% fewer replay-processing rows
86.6% smaller local PostgreSQL fixture footprint</x:v>
      </x:c>
      <x:c r="B14" s="115"/>
      <x:c r="C14" s="115"/>
      <x:c r="D14" s="115"/>
      <x:c r="E14" s="115" t="str">
        <x:v>~90% retrieval-time reduction; ~87% storage-cost reduction; 30 hours/week and ~$52K annual labor value; up to 227.5K widgets/~$205K contribution-margin opportunity — all under documented assumptions</x:v>
      </x:c>
      <x:c r="F14" s="115"/>
      <x:c r="G14" s="115"/>
      <x:c r="H14" s="115"/>
    </x:row>
    <x:row r="15" ht="30" customHeight="1">
      <x:c r="A15" s="115"/>
      <x:c r="B15" s="115"/>
      <x:c r="C15" s="115"/>
      <x:c r="D15" s="115"/>
      <x:c r="E15" s="115"/>
      <x:c r="F15" s="115"/>
      <x:c r="G15" s="115"/>
      <x:c r="H15" s="115"/>
    </x:row>
    <x:row r="16" ht="30" customHeight="1">
      <x:c r="A16" s="115"/>
      <x:c r="B16" s="115"/>
      <x:c r="C16" s="115"/>
      <x:c r="D16" s="115"/>
      <x:c r="E16" s="115"/>
      <x:c r="F16" s="115"/>
      <x:c r="G16" s="115"/>
      <x:c r="H16" s="115"/>
    </x:row>
    <x:row r="18">
      <x:c r="A18" s="111" t="str">
        <x:v>Modeled figures are planning opportunities—not booked savings, realized margin, guaranteed outcomes, or blanket accuracy.</x:v>
      </x:c>
      <x:c r="B18" s="111"/>
      <x:c r="C18" s="111"/>
      <x:c r="D18" s="111"/>
      <x:c r="E18" s="111"/>
      <x:c r="F18" s="111"/>
      <x:c r="G18" s="111"/>
      <x:c r="H18" s="111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</x:mergeCells>
  <x:pageMargins left="0.7" right="0.7" top="0.75" bottom="0.75" header="0.3" footer="0.3"/>
</x:worksheet>
</file>