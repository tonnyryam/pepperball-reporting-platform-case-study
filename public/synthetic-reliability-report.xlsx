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3c8bef36454d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0e0bbcaf29f04b2f"/>
    <x:sheet xmlns:r="http://schemas.openxmlformats.org/officeDocument/2006/relationships" name="Recovery Trace" sheetId="2" r:id="R7244102fd84b4d3c"/>
    <x:sheet xmlns:r="http://schemas.openxmlformats.org/officeDocument/2006/relationships" name="Operational Use" sheetId="3" r:id="Rea4d9f1e0c4849be"/>
    <x:sheet xmlns:r="http://schemas.openxmlformats.org/officeDocument/2006/relationships" name="Intelligence Evidence" sheetId="4" r:id="R860b14727c4349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  <x:font>
      <x:sz val="14"/>
      <x:color rgb="FF171717"/>
      <x:name val="Carlito"/>
    </x:font>
    <x:font>
      <x:b/>
      <x:sz val="21"/>
      <x:color rgb="FFFFFFFF"/>
      <x:name val="Carlito"/>
    </x:font>
    <x:font>
      <x:sz val="13"/>
      <x:color rgb="FF171717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</x:fills>
  <x:borders count="8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</x:borders>
  <x:cellStyleXfs count="1">
    <x:xf numFmtId="0" fontId="0" fillId="0" borderId="0"/>
  </x:cellStyleXfs>
  <x:cellXfs count="1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wrapText="1"/>
    </x:xf>
    <x:xf numFmtId="0" fontId="21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0" fontId="18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8" fillId="20" borderId="0" xfId="0" applyNumberFormat="1" applyFont="1" applyFill="1" applyBorder="1"/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22" borderId="0" xfId="0" applyNumberFormat="1" applyFont="1" applyFill="1" applyBorder="1"/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/>
    <x:xf numFmtId="0" fontId="23" fillId="20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3" fillId="20" borderId="0" xfId="0" applyNumberFormat="1" applyFont="1" applyFill="1" applyBorder="1" applyAlignment="1">
      <x:alignment vertical="center" wrapText="1"/>
    </x:xf>
    <x:xf numFmtId="0" fontId="3" fillId="21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d1bd7ab8a49db" /><Relationship Type="http://schemas.openxmlformats.org/officeDocument/2006/relationships/theme" Target="/xl/theme/theme1.xml" Id="Re53463320add4d7f" /><Relationship Type="http://schemas.openxmlformats.org/officeDocument/2006/relationships/sharedStrings" Target="/xl/sharedStrings.xml" Id="Rdfaf11632d5b4420" /><Relationship Type="http://schemas.openxmlformats.org/officeDocument/2006/relationships/worksheet" Target="/xl/worksheets/sheet1.xml" Id="R0e0bbcaf29f04b2f" /><Relationship Type="http://schemas.openxmlformats.org/officeDocument/2006/relationships/worksheet" Target="/xl/worksheets/sheet2.xml" Id="R7244102fd84b4d3c" /><Relationship Type="http://schemas.openxmlformats.org/officeDocument/2006/relationships/worksheet" Target="/xl/worksheets/sheet3.xml" Id="Rea4d9f1e0c4849be" /><Relationship Type="http://schemas.openxmlformats.org/officeDocument/2006/relationships/worksheet" Target="/xl/worksheets/sheet4.xml" Id="R860b14727c4349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7" t="str">
        <x:v>MODELED OPERATIONAL VALUE</x:v>
      </x:c>
      <x:c r="B13" s="117"/>
      <x:c r="C13" s="117"/>
      <x:c r="D13" s="117"/>
      <x:c r="E13" s="117"/>
      <x:c r="F13" s="117"/>
      <x:c r="G13" s="117"/>
      <x:c r="H13" s="117"/>
    </x:row>
    <x:row r="14" ht="30" customHeight="1">
      <x:c r="A14" s="121" t="str">
        <x:v>30 hours/week of reporting effort addressed (20 supervisor + 10 manager), representing about $52K in modeled annual labor value under documented assumptions.</x:v>
      </x:c>
      <x:c r="B14" s="121"/>
      <x:c r="C14" s="121"/>
      <x:c r="D14" s="121"/>
      <x:c r="E14" s="121"/>
      <x:c r="F14" s="121"/>
      <x:c r="G14" s="121"/>
      <x:c r="H14" s="121"/>
    </x:row>
    <x:row r="15" ht="30" customHeight="1">
      <x:c r="A15" s="121"/>
      <x:c r="B15" s="121"/>
      <x:c r="C15" s="121"/>
      <x:c r="D15" s="121"/>
      <x:c r="E15" s="121"/>
      <x:c r="F15" s="121"/>
      <x:c r="G15" s="121"/>
      <x:c r="H15" s="121"/>
    </x:row>
    <x:row r="16" ht="30" customHeight="1">
      <x:c r="A16" s="121"/>
      <x:c r="B16" s="121"/>
      <x:c r="C16" s="121"/>
      <x:c r="D16" s="121"/>
      <x:c r="E16" s="121"/>
      <x:c r="F16" s="121"/>
      <x:c r="G16" s="121"/>
      <x:c r="H16" s="121"/>
    </x:row>
    <x:row r="18">
      <x:c r="A18" s="124" t="str">
        <x:v>Planning opportunity—not booked savings, autonomous decisions, or a guaranteed outcome.</x:v>
      </x:c>
      <x:c r="B18" s="124"/>
      <x:c r="C18" s="124"/>
      <x:c r="D18" s="124"/>
      <x:c r="E18" s="124"/>
      <x:c r="F18" s="124"/>
      <x:c r="G18" s="124"/>
      <x:c r="H18" s="124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  <x:mergeCell ref="A13:H13"/>
    <x:mergeCell ref="A14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27" t="str">
        <x:v>Operational intelligence — synthetic evidence and boundaries</x:v>
      </x:c>
      <x:c r="B1" s="127"/>
      <x:c r="C1" s="127"/>
      <x:c r="D1" s="127"/>
      <x:c r="E1" s="127"/>
      <x:c r="F1" s="127"/>
      <x:c r="G1" s="127"/>
      <x:c r="H1" s="127"/>
    </x:row>
    <x:row r="2">
      <x:c r="A2" s="127"/>
      <x:c r="B2" s="127"/>
      <x:c r="C2" s="127"/>
      <x:c r="D2" s="127"/>
      <x:c r="E2" s="127"/>
      <x:c r="F2" s="127"/>
      <x:c r="G2" s="127"/>
      <x:c r="H2" s="127"/>
    </x:row>
    <x:row r="3">
      <x:c r="A3" s="129" t="str">
        <x:v>Portfolio demonstration only — no production connection or autonomous decisions.</x:v>
      </x:c>
      <x:c r="B3" s="129"/>
      <x:c r="C3" s="129"/>
      <x:c r="D3" s="129"/>
      <x:c r="E3" s="129"/>
      <x:c r="F3" s="129"/>
      <x:c r="G3" s="129"/>
      <x:c r="H3" s="129"/>
    </x:row>
    <x:row r="5">
      <x:c r="A5" s="131" t="str">
        <x:v>INTERFACE</x:v>
      </x:c>
      <x:c r="B5" s="131" t="str"/>
      <x:c r="C5" s="131" t="str">
        <x:v>CURRENT PURPOSE</x:v>
      </x:c>
      <x:c r="D5" s="131" t="str"/>
      <x:c r="E5" s="131" t="str">
        <x:v>VALIDATED BOUNDARY</x:v>
      </x:c>
      <x:c r="F5" s="131" t="str"/>
      <x:c r="G5" s="131" t="str">
        <x:v>VALUE SIGNAL</x:v>
      </x:c>
      <x:c r="H5" s="131" t="str"/>
    </x:row>
    <x:row r="6" ht="46" customHeight="1">
      <x:c r="A6" s="135" t="str">
        <x:v>Chatbot</x:v>
      </x:c>
      <x:c r="B6" s="135" t="str"/>
      <x:c r="C6" s="135" t="str">
        <x:v>Source-grounded report retrieval</x:v>
      </x:c>
      <x:c r="D6" s="135" t="str"/>
      <x:c r="E6" s="135" t="str">
        <x:v>Citations + deterministic fallback</x:v>
      </x:c>
      <x:c r="F6" s="135" t="str"/>
      <x:c r="G6" s="135" t="str">
        <x:v>Estimated ~90% faster retrieval</x:v>
      </x:c>
      <x:c r="H6" s="135" t="str"/>
    </x:row>
    <x:row r="7" ht="46" customHeight="1">
      <x:c r="A7" s="135" t="str">
        <x:v>Report doctor</x:v>
      </x:c>
      <x:c r="B7" s="135" t="str"/>
      <x:c r="C7" s="135" t="str">
        <x:v>Expected-output and exception diagnostics</x:v>
      </x:c>
      <x:c r="D7" s="135" t="str"/>
      <x:c r="E7" s="135" t="str">
        <x:v>Read-only; no repair or publication</x:v>
      </x:c>
      <x:c r="F7" s="135" t="str"/>
      <x:c r="G7" s="135" t="str">
        <x:v>Faster investigation</x:v>
      </x:c>
      <x:c r="H7" s="135" t="str"/>
    </x:row>
    <x:row r="8" ht="46" customHeight="1">
      <x:c r="A8" s="135" t="str">
        <x:v>Governed oracle</x:v>
      </x:c>
      <x:c r="B8" s="135" t="str"/>
      <x:c r="C8" s="135" t="str">
        <x:v>Contract-bound interpretation and validation</x:v>
      </x:c>
      <x:c r="D8" s="135" t="str"/>
      <x:c r="E8" s="135" t="str">
        <x:v>Missing/ambiguous evidence fails closed</x:v>
      </x:c>
      <x:c r="F8" s="135" t="str"/>
      <x:c r="G8" s="135" t="str">
        <x:v>Consistent evidence checks</x:v>
      </x:c>
      <x:c r="H8" s="135" t="str"/>
    </x:row>
    <x:row r="10">
      <x:c r="A10" s="136" t="str">
        <x:v>IMPACT METHODOLOGY</x:v>
      </x:c>
      <x:c r="B10" s="136"/>
      <x:c r="C10" s="136"/>
      <x:c r="D10" s="136"/>
      <x:c r="E10" s="136"/>
      <x:c r="F10" s="136"/>
      <x:c r="G10" s="136"/>
      <x:c r="H10" s="136"/>
    </x:row>
    <x:row r="11" ht="28" customHeight="1">
      <x:c r="A11" s="139" t="str">
        <x:v>Labor: 30 hours/week and about $52K modeled annual value. Retrieval: representative 20–30 minutes reduced to 1–2 minutes (~90% estimated). Downtime upper bound: 5 minutes × 1,000 widgets/hour/machine × 52.5 events/week × 52 weeks = up to 227,500 widgets; at $0.90/widget, approximately $205K modeled contribution-margin opportunity.</x:v>
      </x:c>
      <x:c r="B11" s="139"/>
      <x:c r="C11" s="139"/>
      <x:c r="D11" s="139"/>
      <x:c r="E11" s="139"/>
      <x:c r="F11" s="139"/>
      <x:c r="G11" s="139"/>
      <x:c r="H11" s="139"/>
    </x:row>
    <x:row r="12" ht="28" customHeight="1">
      <x:c r="A12" s="139"/>
      <x:c r="B12" s="139"/>
      <x:c r="C12" s="139"/>
      <x:c r="D12" s="139"/>
      <x:c r="E12" s="139"/>
      <x:c r="F12" s="139"/>
      <x:c r="G12" s="139"/>
      <x:c r="H12" s="139"/>
    </x:row>
    <x:row r="13" ht="28" customHeight="1">
      <x:c r="A13" s="139"/>
      <x:c r="B13" s="139"/>
      <x:c r="C13" s="139"/>
      <x:c r="D13" s="139"/>
      <x:c r="E13" s="139"/>
      <x:c r="F13" s="139"/>
      <x:c r="G13" s="139"/>
      <x:c r="H13" s="139"/>
    </x:row>
    <x:row r="14" ht="28" customHeight="1">
      <x:c r="A14" s="139"/>
      <x:c r="B14" s="139"/>
      <x:c r="C14" s="139"/>
      <x:c r="D14" s="139"/>
      <x:c r="E14" s="139"/>
      <x:c r="F14" s="139"/>
      <x:c r="G14" s="139"/>
      <x:c r="H14" s="139"/>
    </x:row>
    <x:row r="16">
      <x:c r="A16" s="140" t="str">
        <x:v>Planning scenarios—not booked savings, realized production, guaranteed margin, or autonomous outcomes.</x:v>
      </x:c>
      <x:c r="B16" s="140"/>
      <x:c r="C16" s="140"/>
      <x:c r="D16" s="140"/>
      <x:c r="E16" s="140"/>
      <x:c r="F16" s="140"/>
      <x:c r="G16" s="140"/>
      <x:c r="H16" s="140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10:H10"/>
    <x:mergeCell ref="A11:H14"/>
    <x:mergeCell ref="A16:H16"/>
  </x:mergeCells>
  <x:pageMargins left="0.7" right="0.7" top="0.75" bottom="0.75" header="0.3" footer="0.3"/>
</x:worksheet>
</file>