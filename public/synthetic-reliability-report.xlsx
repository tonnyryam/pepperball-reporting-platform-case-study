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8c3db18a6b4e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c7244d06f81c465e"/>
    <x:sheet xmlns:r="http://schemas.openxmlformats.org/officeDocument/2006/relationships" name="Recovery Trace" sheetId="2" r:id="R56680de4911843d5"/>
    <x:sheet xmlns:r="http://schemas.openxmlformats.org/officeDocument/2006/relationships" name="Impact Evidence" sheetId="3" r:id="Rcea363d942cf4a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6">
    <x:font>
      <x:sz val="11"/>
      <x:name val="Carlito"/>
    </x:font>
    <x:font>
      <x:b/>
      <x:sz val="24"/>
      <x:color rgb="FFFFFFFF"/>
      <x:name val="Carlito"/>
    </x:font>
    <x:font>
      <x:i/>
      <x:sz val="11"/>
      <x:color rgb="FF171717"/>
      <x:name val="Carlito"/>
    </x:font>
    <x:font>
      <x:b/>
      <x:sz val="11"/>
      <x:color rgb="FFFFFFFF"/>
      <x:name val="Carlito"/>
    </x:font>
    <x:font>
      <x:b/>
      <x:sz val="22"/>
      <x:color rgb="FF171717"/>
      <x:name val="Carlito"/>
    </x:font>
    <x:font>
      <x:b/>
      <x:sz val="14"/>
      <x:color rgb="FFFFFFFF"/>
      <x:name val="Carlito"/>
    </x:font>
    <x:font>
      <x:sz val="11"/>
      <x:color rgb="FF171717"/>
      <x:name val="Carlito"/>
    </x:font>
    <x:font>
      <x:b/>
      <x:sz val="11"/>
      <x:color rgb="FFD52B1E"/>
      <x:name val="Carlito"/>
    </x:font>
    <x:font>
      <x:b/>
      <x:sz val="24"/>
      <x:color rgb="FFFFFFFF"/>
      <x:name val="Aptos"/>
    </x:font>
    <x:font>
      <x:i/>
      <x:sz val="11"/>
      <x:color rgb="FF171717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22"/>
      <x:color rgb="FF171717"/>
      <x:name val="Aptos"/>
    </x:font>
    <x:font>
      <x:b/>
      <x:sz val="14"/>
      <x:color rgb="FFFFFFFF"/>
      <x:name val="Aptos"/>
    </x:font>
    <x:font>
      <x:sz val="11"/>
      <x:color rgb="FF171717"/>
      <x:name val="Aptos"/>
    </x:font>
    <x:font>
      <x:b/>
      <x:sz val="11"/>
      <x:color rgb="FFD52B1E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171717"/>
      </x:patternFill>
    </x:fill>
    <x:fill>
      <x:patternFill patternType="solid">
        <x:fgColor rgb="FFFBE8E6"/>
      </x:patternFill>
    </x:fill>
    <x:fill>
      <x:patternFill patternType="solid">
        <x:fgColor rgb="FFD52B1E"/>
      </x:patternFill>
    </x:fill>
    <x:fill>
      <x:patternFill patternType="solid">
        <x:fgColor rgb="FFFFFFFF"/>
      </x:patternFill>
    </x:fill>
    <x:fill>
      <x:patternFill patternType="solid">
        <x:fgColor rgb="FFF4F4F2"/>
      </x:patternFill>
    </x:fill>
    <x:fill>
      <x:patternFill patternType="solid">
        <x:fgColor rgb="FFEEEEEC"/>
      </x:patternFill>
    </x:fill>
  </x:fills>
  <x:borders count="8">
    <x:border/>
    <x:border>
      <x:left style="thin">
        <x:color rgb="FFD0D0CD"/>
      </x:left>
      <x:top style="thin">
        <x:color rgb="FFD0D0CD"/>
      </x:top>
    </x:border>
    <x:border>
      <x:right style="thin">
        <x:color rgb="FFD0D0CD"/>
      </x:right>
      <x:top style="thin">
        <x:color rgb="FFD0D0CD"/>
      </x:top>
    </x:border>
    <x:border>
      <x:left style="thin">
        <x:color rgb="FFD0D0CD"/>
      </x:left>
      <x:bottom style="thin">
        <x:color rgb="FFD0D0CD"/>
      </x:bottom>
    </x:border>
    <x:border>
      <x:right style="thin">
        <x:color rgb="FFD0D0CD"/>
      </x:right>
      <x:bottom style="thin">
        <x:color rgb="FFD0D0CD"/>
      </x:bottom>
    </x:border>
    <x:border>
      <x:bottom style="thin">
        <x:color rgb="FFD0D0CD"/>
      </x:bottom>
    </x:border>
    <x:border>
      <x:top style="thin">
        <x:color rgb="FFD0D0CD"/>
      </x:top>
      <x:bottom style="thin">
        <x:color rgb="FFD0D0CD"/>
      </x:bottom>
    </x:border>
    <x:border>
      <x:top style="thin">
        <x:color rgb="FFD0D0CD"/>
      </x:top>
    </x:border>
  </x:borders>
  <x:cellStyleXfs count="1">
    <x:xf numFmtId="0" fontId="0" fillId="0" borderId="0"/>
  </x:cellStyleXfs>
  <x:cellXfs count="7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4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200" fontId="4" fillId="5" borderId="1" xfId="0" applyNumberFormat="1" applyFont="1" applyFill="1" applyBorder="1" applyAlignment="1">
      <x:alignment horizontal="center" vertical="center"/>
    </x:xf>
    <x:xf numFmtId="200" fontId="4" fillId="5" borderId="2" xfId="0" applyNumberFormat="1" applyFont="1" applyFill="1" applyBorder="1" applyAlignment="1">
      <x:alignment horizontal="center" vertical="center"/>
    </x:xf>
    <x:xf numFmtId="200" fontId="4" fillId="5" borderId="3" xfId="0" applyNumberFormat="1" applyFont="1" applyFill="1" applyBorder="1" applyAlignment="1">
      <x:alignment horizontal="center" vertical="center"/>
    </x:xf>
    <x:xf numFmtId="200" fontId="4" fillId="5" borderId="4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0" fontId="6" fillId="6" borderId="0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 wrapText="1"/>
    </x:xf>
    <x:xf numFmtId="0" fontId="7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vertical="center" wrapText="1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200" fontId="12" fillId="5" borderId="1" xfId="0" applyNumberFormat="1" applyFont="1" applyFill="1" applyBorder="1" applyAlignment="1">
      <x:alignment horizontal="center" vertical="center"/>
    </x:xf>
    <x:xf numFmtId="200" fontId="12" fillId="5" borderId="2" xfId="0" applyNumberFormat="1" applyFont="1" applyFill="1" applyBorder="1" applyAlignment="1">
      <x:alignment horizontal="center" vertical="center"/>
    </x:xf>
    <x:xf numFmtId="200" fontId="12" fillId="5" borderId="3" xfId="0" applyNumberFormat="1" applyFont="1" applyFill="1" applyBorder="1" applyAlignment="1">
      <x:alignment horizontal="center" vertical="center"/>
    </x:xf>
    <x:xf numFmtId="200" fontId="12" fillId="5" borderId="4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vertical="center"/>
    </x:xf>
    <x:xf numFmtId="0" fontId="14" fillId="5" borderId="0" xfId="0" applyNumberFormat="1" applyFont="1" applyFill="1" applyBorder="1" applyAlignment="1">
      <x:alignment vertical="center" wrapText="1"/>
    </x:xf>
    <x:xf numFmtId="0" fontId="15" fillId="5" borderId="0" xfId="0" applyNumberFormat="1" applyFont="1" applyFill="1" applyBorder="1" applyAlignment="1">
      <x:alignment vertical="center" wrapText="1"/>
    </x:xf>
    <x:xf numFmtId="0" fontId="14" fillId="6" borderId="0" xfId="0" applyNumberFormat="1" applyFont="1" applyFill="1" applyBorder="1" applyAlignment="1">
      <x:alignment vertical="center" wrapText="1"/>
    </x:xf>
    <x:xf numFmtId="0" fontId="15" fillId="6" borderId="0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14" fillId="0" borderId="0" xfId="0" applyNumberFormat="1" applyFont="1" applyFill="1" applyBorder="1"/>
    <x:xf numFmtId="0" fontId="14" fillId="0" borderId="5" xfId="0" applyNumberFormat="1" applyFont="1" applyFill="1" applyBorder="1"/>
    <x:xf numFmtId="0" fontId="14" fillId="0" borderId="6" xfId="0" applyNumberFormat="1" applyFont="1" applyFill="1" applyBorder="1"/>
    <x:xf numFmtId="0" fontId="14" fillId="0" borderId="7" xfId="0" applyNumberFormat="1" applyFont="1" applyFill="1" applyBorder="1"/>
    <x:xf numFmtId="0" fontId="14" fillId="0" borderId="5" xfId="0" applyNumberFormat="1" applyFont="1" applyFill="1" applyBorder="1" applyAlignment="1">
      <x:alignment wrapText="1"/>
    </x:xf>
    <x:xf numFmtId="0" fontId="14" fillId="0" borderId="6" xfId="0" applyNumberFormat="1" applyFont="1" applyFill="1" applyBorder="1" applyAlignment="1">
      <x:alignment wrapText="1"/>
    </x:xf>
    <x:xf numFmtId="0" fontId="14" fillId="0" borderId="7" xfId="0" applyNumberFormat="1" applyFont="1" applyFill="1" applyBorder="1" applyAlignment="1">
      <x:alignment wrapText="1"/>
    </x:xf>
    <x:xf numFmtId="0" fontId="14" fillId="0" borderId="5" xfId="0" applyNumberFormat="1" applyFont="1" applyFill="1" applyBorder="1" applyAlignment="1">
      <x:alignment vertical="center" wrapText="1"/>
    </x:xf>
    <x:xf numFmtId="0" fontId="14" fillId="0" borderId="6" xfId="0" applyNumberFormat="1" applyFont="1" applyFill="1" applyBorder="1" applyAlignment="1">
      <x:alignment vertical="center" wrapText="1"/>
    </x:xf>
    <x:xf numFmtId="0" fontId="14" fillId="0" borderId="7" xfId="0" applyNumberFormat="1" applyFont="1" applyFill="1" applyBorder="1" applyAlignment="1">
      <x:alignment vertical="center" wrapText="1"/>
    </x:xf>
    <x:xf numFmtId="0" fontId="14" fillId="7" borderId="5" xfId="0" applyNumberFormat="1" applyFont="1" applyFill="1" applyBorder="1" applyAlignment="1">
      <x:alignment vertical="center" wrapText="1"/>
    </x:xf>
    <x:xf numFmtId="200" fontId="14" fillId="7" borderId="5" xfId="0" applyNumberFormat="1" applyFont="1" applyFill="1" applyBorder="1" applyAlignment="1">
      <x:alignment vertical="center" wrapText="1"/>
    </x:xf>
    <x:xf numFmtId="200" fontId="14" fillId="0" borderId="6" xfId="0" applyNumberFormat="1" applyFont="1" applyFill="1" applyBorder="1" applyAlignment="1">
      <x:alignment vertical="center" wrapText="1"/>
    </x:xf>
    <x:xf numFmtId="200" fontId="14" fillId="0" borderId="7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11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b/>
        <x:color rgb="FFD52B1E"/>
      </x:font>
      <x:fill>
        <x:patternFill patternType="solid">
          <x:bgColor rgb="FFFBE8E6"/>
        </x:patternFill>
      </x:fill>
    </x:dxf>
    <x:dxf>
      <x:fill>
        <x:patternFill patternType="solid">
          <x:bgColor rgb="FFF4F4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7bbd0c77a52437b" /><Relationship Type="http://schemas.openxmlformats.org/officeDocument/2006/relationships/theme" Target="/xl/theme/theme1.xml" Id="Rf9c20a45430a4405" /><Relationship Type="http://schemas.openxmlformats.org/officeDocument/2006/relationships/sharedStrings" Target="/xl/sharedStrings.xml" Id="Rf48c9d1b2bcd41bc" /><Relationship Type="http://schemas.openxmlformats.org/officeDocument/2006/relationships/worksheet" Target="/xl/worksheets/sheet1.xml" Id="Rc7244d06f81c465e" /><Relationship Type="http://schemas.openxmlformats.org/officeDocument/2006/relationships/worksheet" Target="/xl/worksheets/sheet2.xml" Id="R56680de4911843d5" /><Relationship Type="http://schemas.openxmlformats.org/officeDocument/2006/relationships/worksheet" Target="/xl/worksheets/sheet3.xml" Id="Rcea363d942cf4a3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26" customHeight="1">
      <x:c r="A1" s="43" t="str">
        <x:v>Synthetic Reliability Report</x:v>
      </x:c>
      <x:c r="B1" s="43"/>
      <x:c r="C1" s="43"/>
      <x:c r="D1" s="43"/>
      <x:c r="E1" s="43"/>
      <x:c r="F1" s="43"/>
      <x:c r="G1" s="43"/>
      <x:c r="H1" s="43"/>
    </x:row>
    <x:row r="2" ht="26" customHeight="1">
      <x:c r="A2" s="43"/>
      <x:c r="B2" s="43"/>
      <x:c r="C2" s="43"/>
      <x:c r="D2" s="43"/>
      <x:c r="E2" s="43"/>
      <x:c r="F2" s="43"/>
      <x:c r="G2" s="43"/>
      <x:c r="H2" s="43"/>
    </x:row>
    <x:row r="3" ht="28" customHeight="1">
      <x:c r="A3" s="44" t="str">
        <x:v>Portfolio demonstration only - generalized architecture, synthetic values, no production connection</x:v>
      </x:c>
      <x:c r="B3" s="44"/>
      <x:c r="C3" s="44"/>
      <x:c r="D3" s="44"/>
      <x:c r="E3" s="44"/>
      <x:c r="F3" s="44"/>
      <x:c r="G3" s="44"/>
      <x:c r="H3" s="44"/>
    </x:row>
    <x:row r="4">
      <x:c r="A4" s="45"/>
      <x:c r="B4" s="45"/>
      <x:c r="C4" s="45"/>
      <x:c r="D4" s="45"/>
      <x:c r="E4" s="45"/>
      <x:c r="F4" s="45"/>
      <x:c r="G4" s="45"/>
      <x:c r="H4" s="45"/>
    </x:row>
    <x:row r="5" ht="34" customHeight="1">
      <x:c r="A5" s="46" t="str">
        <x:v>Total governed writes</x:v>
      </x:c>
      <x:c r="B5" s="46" t="str"/>
      <x:c r="C5" s="46" t="str">
        <x:v>Equivalent replay writes</x:v>
      </x:c>
      <x:c r="D5" s="46" t="str"/>
      <x:c r="E5" s="46" t="str">
        <x:v>Final remote version</x:v>
      </x:c>
      <x:c r="F5" s="46" t="str"/>
      <x:c r="G5" s="46" t="str">
        <x:v>Overlapping writers</x:v>
      </x:c>
      <x:c r="H5" s="46" t="str"/>
    </x:row>
    <x:row r="6" ht="28" customHeight="1">
      <x:c r="A6" s="47" t="n">
        <x:f>SUM('Recovery Trace'!F2:F7)</x:f>
        <x:v>2</x:v>
      </x:c>
      <x:c r="B6" s="48" t="str"/>
      <x:c r="C6" s="47" t="n">
        <x:f>'Recovery Trace'!F4+'Recovery Trace'!F6</x:f>
        <x:v>0</x:v>
      </x:c>
      <x:c r="D6" s="48" t="str"/>
      <x:c r="E6" s="47" t="n">
        <x:f>MAX('Recovery Trace'!E2:E7)</x:f>
        <x:v>2</x:v>
      </x:c>
      <x:c r="F6" s="48" t="str"/>
      <x:c r="G6" s="47" t="n">
        <x:f>SUM('Recovery Trace'!I2:I7)</x:f>
        <x:v>0</x:v>
      </x:c>
      <x:c r="H6" s="48" t="str"/>
    </x:row>
    <x:row r="7" ht="28" customHeight="1">
      <x:c r="A7" s="49"/>
      <x:c r="B7" s="50"/>
      <x:c r="C7" s="49"/>
      <x:c r="D7" s="50"/>
      <x:c r="E7" s="49"/>
      <x:c r="F7" s="50"/>
      <x:c r="G7" s="49"/>
      <x:c r="H7" s="50"/>
    </x:row>
    <x:row r="8">
      <x:c r="A8" s="45"/>
      <x:c r="B8" s="45"/>
      <x:c r="C8" s="45"/>
      <x:c r="D8" s="45"/>
      <x:c r="E8" s="45"/>
      <x:c r="F8" s="45"/>
      <x:c r="G8" s="45"/>
      <x:c r="H8" s="45"/>
    </x:row>
    <x:row r="9" ht="28" customHeight="1">
      <x:c r="A9" s="51" t="str">
        <x:v>Reliability controls demonstrated</x:v>
      </x:c>
      <x:c r="B9" s="51"/>
      <x:c r="C9" s="51"/>
      <x:c r="D9" s="51"/>
      <x:c r="E9" s="51"/>
      <x:c r="F9" s="51"/>
      <x:c r="G9" s="51"/>
      <x:c r="H9" s="51"/>
    </x:row>
    <x:row r="10" ht="28" customHeight="1">
      <x:c r="A10" s="46" t="str">
        <x:v>Invariant</x:v>
      </x:c>
      <x:c r="B10" s="46" t="str">
        <x:v>Mechanism</x:v>
      </x:c>
      <x:c r="C10" s="46" t="str">
        <x:v>Synthetic result</x:v>
      </x:c>
      <x:c r="D10" s="46" t="str">
        <x:v>Boundary</x:v>
      </x:c>
      <x:c r="E10" s="46" t="str"/>
      <x:c r="F10" s="46" t="str"/>
      <x:c r="G10" s="46" t="str"/>
      <x:c r="H10" s="46" t="str"/>
    </x:row>
    <x:row r="11" ht="44" customHeight="1">
      <x:c r="A11" s="52" t="str">
        <x:v>Equivalent replay</x:v>
      </x:c>
      <x:c r="B11" s="52" t="str">
        <x:v>Governed material identity</x:v>
      </x:c>
      <x:c r="C11" s="53" t="str">
        <x:v>Exact no-op / zero writes</x:v>
      </x:c>
      <x:c r="D11" s="52" t="str">
        <x:v>Capture-only metadata cannot authorize publication</x:v>
      </x:c>
      <x:c r="E11" s="52"/>
      <x:c r="F11" s="52"/>
      <x:c r="G11" s="52"/>
      <x:c r="H11" s="52"/>
    </x:row>
    <x:row r="12" ht="44" customHeight="1">
      <x:c r="A12" s="54" t="str">
        <x:v>Lost response</x:v>
      </x:c>
      <x:c r="B12" s="54" t="str">
        <x:v>Retained candidate plus GET</x:v>
      </x:c>
      <x:c r="C12" s="55" t="str">
        <x:v>Settled / zero retry writes</x:v>
      </x:c>
      <x:c r="D12" s="54" t="str">
        <x:v>Ambiguity reduces write authority</x:v>
      </x:c>
      <x:c r="E12" s="54"/>
      <x:c r="F12" s="54"/>
      <x:c r="G12" s="54"/>
      <x:c r="H12" s="54"/>
    </x:row>
    <x:row r="13" ht="44" customHeight="1">
      <x:c r="A13" s="52" t="str">
        <x:v>Late source</x:v>
      </x:c>
      <x:c r="B13" s="52" t="str">
        <x:v>Durable expected output</x:v>
      </x:c>
      <x:c r="C13" s="53" t="str">
        <x:v>Same item advanced once</x:v>
      </x:c>
      <x:c r="D13" s="52" t="str">
        <x:v>Missing stays missing until evidence arrives</x:v>
      </x:c>
      <x:c r="E13" s="52"/>
      <x:c r="F13" s="52"/>
      <x:c r="G13" s="52"/>
      <x:c r="H13" s="52"/>
    </x:row>
    <x:row r="14" ht="44" customHeight="1">
      <x:c r="A14" s="54" t="str">
        <x:v>Writer overlap</x:v>
      </x:c>
      <x:c r="B14" s="54" t="str">
        <x:v>Exclusive writer lease</x:v>
      </x:c>
      <x:c r="C14" s="55" t="str">
        <x:v>Second writer refused</x:v>
      </x:c>
      <x:c r="D14" s="54" t="str">
        <x:v>Optional work cannot hold the publication lease</x:v>
      </x:c>
      <x:c r="E14" s="54"/>
      <x:c r="F14" s="54"/>
      <x:c r="G14" s="54"/>
      <x:c r="H14" s="54"/>
    </x:row>
    <x:row r="15" ht="44" customHeight="1">
      <x:c r="A15" s="52" t="str">
        <x:v>Release regression</x:v>
      </x:c>
      <x:c r="B15" s="52" t="str">
        <x:v>Immutable prior release</x:v>
      </x:c>
      <x:c r="C15" s="53" t="str">
        <x:v>Exact rollback restored</x:v>
      </x:c>
      <x:c r="D15" s="52" t="str">
        <x:v>No rebuild during incident recovery</x:v>
      </x:c>
      <x:c r="E15" s="52"/>
      <x:c r="F15" s="52"/>
      <x:c r="G15" s="52"/>
      <x:c r="H15" s="52"/>
    </x:row>
    <x:row r="16">
      <x:c r="A16" s="45"/>
      <x:c r="B16" s="45"/>
      <x:c r="C16" s="45"/>
      <x:c r="D16" s="45"/>
      <x:c r="E16" s="45"/>
      <x:c r="F16" s="45"/>
      <x:c r="G16" s="45"/>
      <x:c r="H16" s="45"/>
    </x:row>
    <x:row r="17" ht="42" customHeight="1">
      <x:c r="A17" s="56" t="str">
        <x:v>Claim boundary: this workbook demonstrates reliability behavior only; it does not represent production data, financial impact, or blanket accuracy.</x:v>
      </x:c>
      <x:c r="B17" s="56"/>
      <x:c r="C17" s="56"/>
      <x:c r="D17" s="56"/>
      <x:c r="E17" s="56"/>
      <x:c r="F17" s="56"/>
      <x:c r="G17" s="56"/>
      <x:c r="H17" s="56"/>
    </x:row>
  </x:sheetData>
  <x:mergeCells>
    <x:mergeCell ref="A1:H2"/>
    <x:mergeCell ref="A3:H3"/>
    <x:mergeCell ref="A5:B5"/>
    <x:mergeCell ref="C5:D5"/>
    <x:mergeCell ref="E5:F5"/>
    <x:mergeCell ref="G5:H5"/>
    <x:mergeCell ref="A6:B7"/>
    <x:mergeCell ref="C6:D7"/>
    <x:mergeCell ref="E6:F7"/>
    <x:mergeCell ref="G6:H7"/>
    <x:mergeCell ref="A9:H9"/>
    <x:mergeCell ref="D10:H10"/>
    <x:mergeCell ref="D11:H11"/>
    <x:mergeCell ref="D12:H12"/>
    <x:mergeCell ref="D13:H13"/>
    <x:mergeCell ref="D14:H14"/>
    <x:mergeCell ref="D15:H15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37" hidden="0" customWidth="1"/>
    <x:col min="3" max="3" width="19" hidden="0" customWidth="1"/>
    <x:col min="4" max="4" width="17" hidden="0" customWidth="1"/>
    <x:col min="5" max="5" width="16" hidden="0" customWidth="1"/>
    <x:col min="6" max="6" width="10" hidden="0" customWidth="1"/>
    <x:col min="7" max="7" width="18" hidden="0" customWidth="1"/>
    <x:col min="8" max="8" width="17" hidden="0" customWidth="1"/>
    <x:col min="9" max="9" width="16" hidden="0" customWidth="1"/>
  </x:cols>
  <x:sheetData>
    <x:row r="1" ht="34" customHeight="1">
      <x:c r="A1" s="59" t="str">
        <x:v>Step</x:v>
      </x:c>
      <x:c r="B1" s="59" t="str">
        <x:v>Event</x:v>
      </x:c>
      <x:c r="C1" s="59" t="str">
        <x:v>State</x:v>
      </x:c>
      <x:c r="D1" s="59" t="str">
        <x:v>Material</x:v>
      </x:c>
      <x:c r="E1" s="59" t="str">
        <x:v>Remote version</x:v>
      </x:c>
      <x:c r="F1" s="59" t="str">
        <x:v>Writes</x:v>
      </x:c>
      <x:c r="G1" s="59" t="str">
        <x:v>Settlement</x:v>
      </x:c>
      <x:c r="H1" s="59" t="str">
        <x:v>Result</x:v>
      </x:c>
      <x:c r="I1" s="59" t="str">
        <x:v>Writer overlap</x:v>
      </x:c>
    </x:row>
    <x:row r="2" ht="42" customHeight="1">
      <x:c r="A2" s="71" t="n">
        <x:v>1</x:v>
      </x:c>
      <x:c r="B2" s="70" t="str">
        <x:v>Expected output; source incomplete</x:v>
      </x:c>
      <x:c r="C2" s="70" t="str">
        <x:v>pending_source</x:v>
      </x:c>
      <x:c r="D2" s="70" t="str">
        <x:v>none</x:v>
      </x:c>
      <x:c r="E2" s="71" t="n">
        <x:v>0</x:v>
      </x:c>
      <x:c r="F2" s="71" t="n">
        <x:v>0</x:v>
      </x:c>
      <x:c r="G2" s="70" t="str">
        <x:v>none</x:v>
      </x:c>
      <x:c r="H2" s="70" t="str">
        <x:v>pending</x:v>
      </x:c>
      <x:c r="I2" s="71" t="n">
        <x:v>0</x:v>
      </x:c>
    </x:row>
    <x:row r="3" ht="42" customHeight="1">
      <x:c r="A3" s="72" t="n">
        <x:v>2</x:v>
      </x:c>
      <x:c r="B3" s="68" t="str">
        <x:v>Qualified source arrives</x:v>
      </x:c>
      <x:c r="C3" s="68" t="str">
        <x:v>certified</x:v>
      </x:c>
      <x:c r="D3" s="68" t="str">
        <x:v>material-a</x:v>
      </x:c>
      <x:c r="E3" s="72" t="n">
        <x:v>1</x:v>
      </x:c>
      <x:c r="F3" s="72" t="n">
        <x:v>1</x:v>
      </x:c>
      <x:c r="G3" s="68" t="str">
        <x:v>exact GET</x:v>
      </x:c>
      <x:c r="H3" s="68" t="str">
        <x:v>created</x:v>
      </x:c>
      <x:c r="I3" s="72" t="n">
        <x:v>0</x:v>
      </x:c>
    </x:row>
    <x:row r="4" ht="42" customHeight="1">
      <x:c r="A4" s="72" t="n">
        <x:v>3</x:v>
      </x:c>
      <x:c r="B4" s="68" t="str">
        <x:v>Equivalent capture marker changes</x:v>
      </x:c>
      <x:c r="C4" s="68" t="str">
        <x:v>certified</x:v>
      </x:c>
      <x:c r="D4" s="68" t="str">
        <x:v>material-a</x:v>
      </x:c>
      <x:c r="E4" s="72" t="n">
        <x:v>1</x:v>
      </x:c>
      <x:c r="F4" s="72" t="n">
        <x:v>0</x:v>
      </x:c>
      <x:c r="G4" s="68" t="str">
        <x:v>exact GET</x:v>
      </x:c>
      <x:c r="H4" s="68" t="str">
        <x:v>exact no-op</x:v>
      </x:c>
      <x:c r="I4" s="72" t="n">
        <x:v>0</x:v>
      </x:c>
    </x:row>
    <x:row r="5" ht="42" customHeight="1">
      <x:c r="A5" s="72" t="n">
        <x:v>4</x:v>
      </x:c>
      <x:c r="B5" s="68" t="str">
        <x:v>Governed facts change; response lost</x:v>
      </x:c>
      <x:c r="C5" s="68" t="str">
        <x:v>certified</x:v>
      </x:c>
      <x:c r="D5" s="68" t="str">
        <x:v>material-b</x:v>
      </x:c>
      <x:c r="E5" s="72" t="n">
        <x:v>2</x:v>
      </x:c>
      <x:c r="F5" s="72" t="n">
        <x:v>1</x:v>
      </x:c>
      <x:c r="G5" s="68" t="str">
        <x:v>GET only</x:v>
      </x:c>
      <x:c r="H5" s="68" t="str">
        <x:v>settled</x:v>
      </x:c>
      <x:c r="I5" s="72" t="n">
        <x:v>0</x:v>
      </x:c>
    </x:row>
    <x:row r="6" ht="42" customHeight="1">
      <x:c r="A6" s="72" t="n">
        <x:v>5</x:v>
      </x:c>
      <x:c r="B6" s="68" t="str">
        <x:v>Equivalent replay after settlement</x:v>
      </x:c>
      <x:c r="C6" s="68" t="str">
        <x:v>certified</x:v>
      </x:c>
      <x:c r="D6" s="68" t="str">
        <x:v>material-b</x:v>
      </x:c>
      <x:c r="E6" s="72" t="n">
        <x:v>2</x:v>
      </x:c>
      <x:c r="F6" s="72" t="n">
        <x:v>0</x:v>
      </x:c>
      <x:c r="G6" s="68" t="str">
        <x:v>exact GET</x:v>
      </x:c>
      <x:c r="H6" s="68" t="str">
        <x:v>exact no-op</x:v>
      </x:c>
      <x:c r="I6" s="72" t="n">
        <x:v>0</x:v>
      </x:c>
    </x:row>
    <x:row r="7" ht="42" customHeight="1">
      <x:c r="A7" s="73" t="n">
        <x:v>6</x:v>
      </x:c>
      <x:c r="B7" s="69" t="str">
        <x:v>Successor regression</x:v>
      </x:c>
      <x:c r="C7" s="69" t="str">
        <x:v>restored</x:v>
      </x:c>
      <x:c r="D7" s="69" t="str">
        <x:v>release-a</x:v>
      </x:c>
      <x:c r="E7" s="73" t="n">
        <x:v>2</x:v>
      </x:c>
      <x:c r="F7" s="73" t="n">
        <x:v>0</x:v>
      </x:c>
      <x:c r="G7" s="69" t="str">
        <x:v>topology check</x:v>
      </x:c>
      <x:c r="H7" s="69" t="str">
        <x:v>exact rollback</x:v>
      </x:c>
      <x:c r="I7" s="73" t="n">
        <x:v>0</x:v>
      </x:c>
    </x:row>
  </x:sheetData>
  <x:conditionalFormatting sqref="A3:I7">
    <x:cfRule type="expression" dxfId="0" priority="1">
      <x:formula>$H3="exact no-op"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20" hidden="0" customWidth="1"/>
    <x:col min="3" max="3" width="42" hidden="0" customWidth="1"/>
    <x:col min="4" max="4" width="31" hidden="0" customWidth="1"/>
    <x:col min="5" max="5" width="40" hidden="0" customWidth="1"/>
    <x:col min="6" max="6" width="34" hidden="0" customWidth="1"/>
  </x:cols>
  <x:sheetData>
    <x:row r="1" ht="26" customHeight="1">
      <x:c r="A1" s="43" t="str">
        <x:v>Impact Evidence Guide</x:v>
      </x:c>
      <x:c r="B1" s="43"/>
      <x:c r="C1" s="43"/>
      <x:c r="D1" s="43"/>
      <x:c r="E1" s="43"/>
      <x:c r="F1" s="43"/>
    </x:row>
    <x:row r="2" ht="26" customHeight="1">
      <x:c r="A2" s="43"/>
      <x:c r="B2" s="43"/>
      <x:c r="C2" s="43"/>
      <x:c r="D2" s="43"/>
      <x:c r="E2" s="43"/>
      <x:c r="F2" s="43"/>
    </x:row>
    <x:row r="3" ht="28" customHeight="1">
      <x:c r="A3" s="44" t="str">
        <x:v>Documented observations and planning models - no production records included</x:v>
      </x:c>
      <x:c r="B3" s="44"/>
      <x:c r="C3" s="44"/>
      <x:c r="D3" s="44"/>
      <x:c r="E3" s="44"/>
      <x:c r="F3" s="44"/>
    </x:row>
    <x:row r="4">
      <x:c r="A4" s="45"/>
      <x:c r="B4" s="45"/>
      <x:c r="C4" s="45"/>
      <x:c r="D4" s="45"/>
      <x:c r="E4" s="45"/>
      <x:c r="F4" s="45"/>
    </x:row>
    <x:row r="5" ht="34" customHeight="1">
      <x:c r="A5" s="76" t="str">
        <x:v>Evidence</x:v>
      </x:c>
      <x:c r="B5" s="76" t="str">
        <x:v>Class</x:v>
      </x:c>
      <x:c r="C5" s="76" t="str">
        <x:v>Basis</x:v>
      </x:c>
      <x:c r="D5" s="76" t="str">
        <x:v>Result</x:v>
      </x:c>
      <x:c r="E5" s="76" t="str">
        <x:v>Interpretation</x:v>
      </x:c>
      <x:c r="F5" s="76" t="str">
        <x:v>Limit</x:v>
      </x:c>
    </x:row>
    <x:row r="6" ht="58" customHeight="1">
      <x:c r="A6" s="67" t="str">
        <x:v>Production-count schema</x:v>
      </x:c>
      <x:c r="B6" s="67" t="str">
        <x:v>Reviewed observation</x:v>
      </x:c>
      <x:c r="C6" s="67" t="str">
        <x:v>Approximately six months; about one in four legacy reports did not conform</x:v>
      </x:c>
      <x:c r="D6" s="67" t="str">
        <x:v>About 75% → 100%</x:v>
      </x:c>
      <x:c r="E6" s="67" t="str">
        <x:v>25 percentage-point increase across reviewed system outputs</x:v>
      </x:c>
      <x:c r="F6" s="67" t="str">
        <x:v>Sample-bound; exact N/date range retained privately</x:v>
      </x:c>
    </x:row>
    <x:row r="7" ht="58" customHeight="1">
      <x:c r="A7" s="68" t="str">
        <x:v>Reporting effort</x:v>
      </x:c>
      <x:c r="B7" s="68" t="str">
        <x:v>Modeled</x:v>
      </x:c>
      <x:c r="C7" s="68" t="str">
        <x:v>20 supervisor + 10 manager hours/week</x:v>
      </x:c>
      <x:c r="D7" s="68" t="str">
        <x:v>30 hours/week · about $52K/year</x:v>
      </x:c>
      <x:c r="E7" s="68" t="str">
        <x:v>Potential time redirected from preparation to review</x:v>
      </x:c>
      <x:c r="F7" s="68" t="str">
        <x:v>Not booked savings</x:v>
      </x:c>
    </x:row>
    <x:row r="8" ht="58" customHeight="1">
      <x:c r="A8" s="68" t="str">
        <x:v>Report retrieval</x:v>
      </x:c>
      <x:c r="B8" s="68" t="str">
        <x:v>Estimated</x:v>
      </x:c>
      <x:c r="C8" s="68" t="str">
        <x:v>Representative 20-30 minute search reduced to 1-2 minutes</x:v>
      </x:c>
      <x:c r="D8" s="68" t="str">
        <x:v>About 90% faster</x:v>
      </x:c>
      <x:c r="E8" s="68" t="str">
        <x:v>Faster access to cited evidence</x:v>
      </x:c>
      <x:c r="F8" s="68" t="str">
        <x:v>Scenario-dependent</x:v>
      </x:c>
    </x:row>
    <x:row r="9" ht="58" customHeight="1">
      <x:c r="A9" s="69" t="str">
        <x:v>Downtime response</x:v>
      </x:c>
      <x:c r="B9" s="69" t="str">
        <x:v>Modeled upper bound</x:v>
      </x:c>
      <x:c r="C9" s="69" t="str">
        <x:v>5 minutes × 1,000 production units/hour/machine × 52.5 events/week × 52 weeks</x:v>
      </x:c>
      <x:c r="D9" s="69" t="str">
        <x:v>Up to 227,500 production units · about $205K</x:v>
      </x:c>
      <x:c r="E9" s="69" t="str">
        <x:v>Sensitivity model for prioritization</x:v>
      </x:c>
      <x:c r="F9" s="69" t="str">
        <x:v>Not realized production or margin</x:v>
      </x:c>
    </x:row>
  </x:sheetData>
  <x:mergeCells>
    <x:mergeCell ref="A1:F2"/>
    <x:mergeCell ref="A3:F3"/>
  </x:mergeCells>
  <x:conditionalFormatting sqref="A6:F9">
    <x:cfRule type="expression" dxfId="1" priority="1">
      <x:formula>MOD(ROW(),2)=0</x:formula>
    </x:cfRule>
  </x:conditionalFormatting>
  <x:pageMargins left="0.7" right="0.7" top="0.75" bottom="0.75" header="0.3" footer="0.3"/>
</x:worksheet>
</file>