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bffacc74f844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fec8358089b948e1"/>
    <x:sheet xmlns:r="http://schemas.openxmlformats.org/officeDocument/2006/relationships" name="Recovery Trace" sheetId="2" r:id="Rb7289f092d934d7f"/>
    <x:sheet xmlns:r="http://schemas.openxmlformats.org/officeDocument/2006/relationships" name="Operational Use" sheetId="3" r:id="Reaa0020b0c6241df"/>
    <x:sheet xmlns:r="http://schemas.openxmlformats.org/officeDocument/2006/relationships" name="Reporting Assistant" sheetId="4" r:id="Rb750ccf55f95421a"/>
    <x:sheet xmlns:r="http://schemas.openxmlformats.org/officeDocument/2006/relationships" name="Source Lineage" sheetId="5" r:id="R0a4f181c0e0344d4"/>
    <x:sheet xmlns:r="http://schemas.openxmlformats.org/officeDocument/2006/relationships" name="Exception Review" sheetId="6" r:id="R2a147ef9eba14e88"/>
    <x:sheet xmlns:r="http://schemas.openxmlformats.org/officeDocument/2006/relationships" name="Impact Model" sheetId="7" r:id="R11bdd89afaeb45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#,##0"/>
    <x:numFmt numFmtId="203" formatCode="$#,##0"/>
    <x:numFmt numFmtId="204" formatCode="0%"/>
    <x:numFmt numFmtId="205" formatCode="&quot;$&quot;#,##0"/>
  </x:numFmts>
  <x:fonts count="28">
    <x:font>
      <x:sz val="11"/>
      <x:name val="Carlito"/>
    </x:font>
    <x:font>
      <x:b/>
      <x:sz val="24"/>
      <x:color rgb="FFFFFFFF"/>
      <x:name val="Carlito"/>
    </x:font>
    <x:font>
      <x:i/>
      <x:sz val="11"/>
      <x:color rgb="FF10201C"/>
      <x:name val="Carlito"/>
    </x:font>
    <x:font>
      <x:b/>
      <x:sz val="11"/>
      <x:color rgb="FFFFFFFF"/>
      <x:name val="Carlito"/>
    </x:font>
    <x:font>
      <x:b/>
      <x:sz val="22"/>
      <x:color rgb="FF10201C"/>
      <x:name val="Carlito"/>
    </x:font>
    <x:font>
      <x:b/>
      <x:sz val="14"/>
      <x:color rgb="FFFFFFFF"/>
      <x:name val="Carlito"/>
    </x:font>
    <x:font>
      <x:sz val="11"/>
      <x:color rgb="FF10201C"/>
      <x:name val="Carlito"/>
    </x:font>
    <x:font>
      <x:b/>
      <x:sz val="11"/>
      <x:color rgb="FF155E4A"/>
      <x:name val="Carlito"/>
    </x:font>
    <x:font>
      <x:b/>
      <x:sz val="24"/>
      <x:color rgb="FFFFFFFF"/>
      <x:name val="Aptos"/>
    </x:font>
    <x:font>
      <x:i/>
      <x:sz val="11"/>
      <x:color rgb="FF10201C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22"/>
      <x:color rgb="FF10201C"/>
      <x:name val="Aptos"/>
    </x:font>
    <x:font>
      <x:b/>
      <x:sz val="14"/>
      <x:color rgb="FFFFFFFF"/>
      <x:name val="Aptos"/>
    </x:font>
    <x:font>
      <x:sz val="11"/>
      <x:color rgb="FF10201C"/>
      <x:name val="Aptos"/>
    </x:font>
    <x:font>
      <x:b/>
      <x:sz val="11"/>
      <x:color rgb="FF155E4A"/>
      <x:name val="Aptos"/>
    </x:font>
    <x:font>
      <x:b/>
      <x:sz val="11"/>
      <x:color rgb="FFD52B1E"/>
      <x:name val="Aptos"/>
    </x:font>
    <x:font>
      <x:b/>
      <x:sz val="22"/>
      <x:color rgb="FFFFFFFF"/>
      <x:name val="Carlito"/>
    </x:font>
    <x:font>
      <x:i/>
      <x:sz val="11"/>
      <x:color rgb="FF171717"/>
      <x:name val="Carlito"/>
    </x:font>
    <x:font>
      <x:sz val="11"/>
      <x:color rgb="FF171717"/>
      <x:name val="Carlito"/>
    </x:font>
    <x:font>
      <x:sz val="11"/>
      <x:color rgb="FFD52B1E"/>
      <x:name val="Aptos"/>
    </x:font>
    <x:font>
      <x:sz val="14"/>
      <x:color rgb="FF171717"/>
      <x:name val="Carlito"/>
    </x:font>
    <x:font>
      <x:b/>
      <x:sz val="21"/>
      <x:color rgb="FFFFFFFF"/>
      <x:name val="Carlito"/>
    </x:font>
    <x:font>
      <x:sz val="13"/>
      <x:color rgb="FF171717"/>
      <x:name val="Carlito"/>
    </x:font>
    <x:font>
      <x:i/>
      <x:sz val="11"/>
      <x:color rgb="FF626262"/>
      <x:name val="Carlito"/>
    </x:font>
    <x:font>
      <x:b/>
      <x:sz val="11"/>
      <x:color rgb="FF171717"/>
      <x:name val="Carlito"/>
    </x:font>
    <x:font>
      <x:sz val="11"/>
      <x:color rgb="FF171717"/>
      <x:name val="Aptos"/>
    </x:font>
    <x:font>
      <x:sz val="11"/>
      <x:color rgb="FF333333"/>
      <x:name val="Carlito"/>
    </x:font>
  </x:fonts>
  <x:fills count="39">
    <x:fill>
      <x:patternFill patternType="none"/>
    </x:fill>
    <x:fill>
      <x:patternFill patternType="gray125"/>
    </x:fill>
    <x:fill>
      <x:patternFill patternType="solid">
        <x:fgColor rgb="FF10201C"/>
      </x:patternFill>
    </x:fill>
    <x:fill>
      <x:patternFill patternType="solid">
        <x:fgColor rgb="FFD9F99D"/>
      </x:patternFill>
    </x:fill>
    <x:fill>
      <x:patternFill patternType="solid">
        <x:fgColor rgb="FF155E4A"/>
      </x:patternFill>
    </x:fill>
    <x:fill>
      <x:patternFill patternType="solid">
        <x:fgColor rgb="FFFFFDF7"/>
      </x:patternFill>
    </x:fill>
    <x:fill>
      <x:patternFill patternType="solid">
        <x:fgColor rgb="FFF5F1E7"/>
      </x:patternFill>
    </x:fill>
    <x:fill>
      <x:patternFill patternType="solid">
        <x:fgColor rgb="FFFFF1D6"/>
      </x:patternFill>
    </x:fill>
    <x:fill>
      <x:patternFill patternType="solid">
        <x:fgColor rgb="FF171717"/>
      </x:patternFill>
    </x:fill>
    <x:fill>
      <x:patternFill patternType="solid">
        <x:fgColor rgb="FFFBE8E6"/>
      </x:patternFill>
    </x:fill>
    <x:fill>
      <x:patternFill patternType="solid">
        <x:fgColor rgb="FFD52B1E"/>
      </x:patternFill>
    </x:fill>
    <x:fill>
      <x:patternFill patternType="solid">
        <x:fgColor rgb="FFF6F6F4"/>
      </x:patternFill>
    </x:fill>
    <x:fill>
      <x:patternFill patternType="solid">
        <x:fgColor rgb="FF171717"/>
      </x:patternFill>
    </x:fill>
    <x:fill>
      <x:patternFill patternType="solid">
        <x:fgColor rgb="FFFBE8E6"/>
      </x:patternFill>
    </x:fill>
    <x:fill>
      <x:patternFill patternType="solid">
        <x:fgColor rgb="FFD52B1E"/>
      </x:patternFill>
    </x:fill>
    <x:fill>
      <x:patternFill patternType="solid">
        <x:fgColor rgb="FFF6F6F4"/>
      </x:patternFill>
    </x:fill>
    <x:fill>
      <x:patternFill patternType="solid">
        <x:fgColor rgb="FFD52B1E"/>
      </x:patternFill>
    </x:fill>
    <x:fill>
      <x:patternFill patternType="solid">
        <x:fgColor rgb="FFF6F6F4"/>
      </x:patternFill>
    </x:fill>
    <x:fill>
      <x:patternFill patternType="solid">
        <x:fgColor rgb="FFFBE8E6"/>
      </x:patternFill>
    </x:fill>
    <x:fill>
      <x:patternFill patternType="solid">
        <x:fgColor rgb="FF171717"/>
      </x:patternFill>
    </x:fill>
    <x:fill>
      <x:patternFill patternType="solid">
        <x:fgColor rgb="FFFBE8E6"/>
      </x:patternFill>
    </x:fill>
    <x:fill>
      <x:patternFill patternType="solid">
        <x:fgColor rgb="FFD52B1E"/>
      </x:patternFill>
    </x:fill>
    <x:fill>
      <x:patternFill patternType="solid">
        <x:fgColor rgb="FFF6F6F4"/>
      </x:patternFill>
    </x:fill>
    <x:fill>
      <x:patternFill patternType="solid">
        <x:fgColor rgb="FFFBE8E6"/>
      </x:patternFill>
    </x:fill>
    <x:fill>
      <x:patternFill patternType="solid">
        <x:fgColor rgb="FF171717"/>
      </x:patternFill>
    </x:fill>
    <x:fill>
      <x:patternFill patternType="solid">
        <x:fgColor rgb="FFD52B1E"/>
      </x:patternFill>
    </x:fill>
    <x:fill>
      <x:patternFill patternType="solid">
        <x:fgColor rgb="FFF4F4F2"/>
      </x:patternFill>
    </x:fill>
    <x:fill>
      <x:patternFill patternType="solid">
        <x:fgColor rgb="FF171717"/>
      </x:patternFill>
    </x:fill>
    <x:fill>
      <x:patternFill patternType="solid">
        <x:fgColor rgb="FFD52B1E"/>
      </x:patternFill>
    </x:fill>
    <x:fill>
      <x:patternFill patternType="solid">
        <x:fgColor rgb="FFF4F4F2"/>
      </x:patternFill>
    </x:fill>
    <x:fill>
      <x:patternFill patternType="solid">
        <x:fgColor rgb="FF1F1F1F"/>
      </x:patternFill>
    </x:fill>
    <x:fill>
      <x:patternFill patternType="solid">
        <x:fgColor rgb="FFD52B1E"/>
      </x:patternFill>
    </x:fill>
    <x:fill>
      <x:patternFill patternType="solid">
        <x:fgColor rgb="FFFBE8E6"/>
      </x:patternFill>
    </x:fill>
    <x:fill>
      <x:patternFill patternType="solid">
        <x:fgColor rgb="FF1F1F1F"/>
      </x:patternFill>
    </x:fill>
    <x:fill>
      <x:patternFill patternType="solid">
        <x:fgColor rgb="FFD52B1E"/>
      </x:patternFill>
    </x:fill>
    <x:fill>
      <x:patternFill patternType="solid">
        <x:fgColor rgb="FFFBE8E6"/>
      </x:patternFill>
    </x:fill>
    <x:fill>
      <x:patternFill patternType="solid">
        <x:fgColor rgb="FF1F1F1F"/>
      </x:patternFill>
    </x:fill>
    <x:fill>
      <x:patternFill patternType="solid">
        <x:fgColor rgb="FFD52B1E"/>
      </x:patternFill>
    </x:fill>
    <x:fill>
      <x:patternFill patternType="solid">
        <x:fgColor rgb="FFFBE8E6"/>
      </x:patternFill>
    </x:fill>
  </x:fills>
  <x:borders count="17">
    <x:border/>
    <x:border>
      <x:left style="thin">
        <x:color rgb="FFD5DDD7"/>
      </x:left>
      <x:top style="thin">
        <x:color rgb="FFD5DDD7"/>
      </x:top>
    </x:border>
    <x:border>
      <x:right style="thin">
        <x:color rgb="FFD5DDD7"/>
      </x:right>
      <x:top style="thin">
        <x:color rgb="FFD5DDD7"/>
      </x:top>
    </x:border>
    <x:border>
      <x:left style="thin">
        <x:color rgb="FFD5DDD7"/>
      </x:left>
      <x:bottom style="thin">
        <x:color rgb="FFD5DDD7"/>
      </x:bottom>
    </x:border>
    <x:border>
      <x:right style="thin">
        <x:color rgb="FFD5DDD7"/>
      </x:right>
      <x:bottom style="thin">
        <x:color rgb="FFD5DDD7"/>
      </x:bottom>
    </x:border>
    <x:border>
      <x:bottom style="thin">
        <x:color rgb="FFD5DDD7"/>
      </x:bottom>
    </x:border>
    <x:border>
      <x:top style="thin">
        <x:color rgb="FFD5DDD7"/>
      </x:top>
      <x:bottom style="thin">
        <x:color rgb="FFD5DDD7"/>
      </x:bottom>
    </x:border>
    <x:border>
      <x:top style="thin">
        <x:color rgb="FFD5DDD7"/>
      </x:top>
    </x:border>
    <x:border>
      <x:left style="thin">
        <x:color rgb="FFD0D0CD"/>
      </x:left>
      <x:right style="thin">
        <x:color rgb="FFD0D0CD"/>
      </x:right>
      <x:top style="thin">
        <x:color rgb="FFD0D0CD"/>
      </x:top>
      <x:bottom style="thin">
        <x:color rgb="FFD0D0CD"/>
      </x:bottom>
    </x:border>
    <x:border>
      <x:right style="thin">
        <x:color rgb="FFD0D0CD"/>
      </x:right>
      <x:bottom style="thin">
        <x:color rgb="FFD0D0CD"/>
      </x:bottom>
    </x:border>
    <x:border>
      <x:left style="thin">
        <x:color rgb="FFD0D0CD"/>
      </x:left>
      <x:right style="thin">
        <x:color rgb="FFD0D0CD"/>
      </x:right>
      <x:bottom style="thin">
        <x:color rgb="FFD0D0CD"/>
      </x:bottom>
    </x:border>
    <x:border>
      <x:left style="thin">
        <x:color rgb="FFD0D0CD"/>
      </x:left>
      <x:bottom style="thin">
        <x:color rgb="FFD0D0CD"/>
      </x:bottom>
    </x:border>
    <x:border>
      <x:right style="thin">
        <x:color rgb="FFD0D0CD"/>
      </x:right>
      <x:top style="thin">
        <x:color rgb="FFD0D0CD"/>
      </x:top>
      <x:bottom style="thin">
        <x:color rgb="FFD0D0CD"/>
      </x:bottom>
    </x:border>
    <x:border>
      <x:left style="thin">
        <x:color rgb="FFD0D0CD"/>
      </x:left>
      <x:top style="thin">
        <x:color rgb="FFD0D0CD"/>
      </x:top>
      <x:bottom style="thin">
        <x:color rgb="FFD0D0CD"/>
      </x:bottom>
    </x:border>
    <x:border>
      <x:right style="thin">
        <x:color rgb="FFD0D0CD"/>
      </x:right>
      <x:top style="thin">
        <x:color rgb="FFD0D0CD"/>
      </x:top>
    </x:border>
    <x:border>
      <x:left style="thin">
        <x:color rgb="FFD0D0CD"/>
      </x:left>
      <x:right style="thin">
        <x:color rgb="FFD0D0CD"/>
      </x:right>
      <x:top style="thin">
        <x:color rgb="FFD0D0CD"/>
      </x:top>
    </x:border>
    <x:border>
      <x:left style="thin">
        <x:color rgb="FFD0D0CD"/>
      </x:left>
      <x:top style="thin">
        <x:color rgb="FFD0D0CD"/>
      </x:top>
    </x:border>
  </x:borders>
  <x:cellStyleXfs count="1">
    <x:xf numFmtId="0" fontId="0" fillId="0" borderId="0"/>
  </x:cellStyleXfs>
  <x:cellXfs count="2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2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200" fontId="4" fillId="5" borderId="1" xfId="0" applyNumberFormat="1" applyFont="1" applyFill="1" applyBorder="1" applyAlignment="1">
      <x:alignment horizontal="center" vertical="center"/>
    </x:xf>
    <x:xf numFmtId="200" fontId="4" fillId="5" borderId="2" xfId="0" applyNumberFormat="1" applyFont="1" applyFill="1" applyBorder="1" applyAlignment="1">
      <x:alignment horizontal="center" vertical="center"/>
    </x:xf>
    <x:xf numFmtId="200" fontId="4" fillId="5" borderId="3" xfId="0" applyNumberFormat="1" applyFont="1" applyFill="1" applyBorder="1" applyAlignment="1">
      <x:alignment horizontal="center" vertical="center"/>
    </x:xf>
    <x:xf numFmtId="200" fontId="4" fillId="5" borderId="4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/>
    <x:xf numFmtId="0" fontId="11" fillId="4" borderId="0" xfId="0" applyNumberFormat="1" applyFont="1" applyFill="1" applyBorder="1" applyAlignment="1">
      <x:alignment vertical="center"/>
    </x:xf>
    <x:xf numFmtId="200" fontId="12" fillId="5" borderId="1" xfId="0" applyNumberFormat="1" applyFont="1" applyFill="1" applyBorder="1" applyAlignment="1">
      <x:alignment horizontal="center" vertical="center"/>
    </x:xf>
    <x:xf numFmtId="200" fontId="12" fillId="5" borderId="2" xfId="0" applyNumberFormat="1" applyFont="1" applyFill="1" applyBorder="1" applyAlignment="1">
      <x:alignment horizontal="center" vertical="center"/>
    </x:xf>
    <x:xf numFmtId="200" fontId="12" fillId="5" borderId="3" xfId="0" applyNumberFormat="1" applyFont="1" applyFill="1" applyBorder="1" applyAlignment="1">
      <x:alignment horizontal="center" vertical="center"/>
    </x:xf>
    <x:xf numFmtId="200" fontId="12" fillId="5" borderId="4" xfId="0" applyNumberFormat="1" applyFont="1" applyFill="1" applyBorder="1" applyAlignment="1">
      <x:alignment horizontal="center" vertical="center"/>
    </x:xf>
    <x:xf numFmtId="0" fontId="13" fillId="2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 wrapText="1"/>
    </x:xf>
    <x:xf numFmtId="0" fontId="15" fillId="5" borderId="0" xfId="0" applyNumberFormat="1" applyFont="1" applyFill="1" applyBorder="1" applyAlignment="1">
      <x:alignment vertical="center" wrapText="1"/>
    </x:xf>
    <x:xf numFmtId="0" fontId="14" fillId="6" borderId="0" xfId="0" applyNumberFormat="1" applyFont="1" applyFill="1" applyBorder="1" applyAlignment="1">
      <x:alignment vertical="center" wrapText="1"/>
    </x:xf>
    <x:xf numFmtId="0" fontId="15" fillId="6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14" fillId="0" borderId="0" xfId="0" applyNumberFormat="1" applyFont="1" applyFill="1" applyBorder="1"/>
    <x:xf numFmtId="0" fontId="14" fillId="0" borderId="5" xfId="0" applyNumberFormat="1" applyFont="1" applyFill="1" applyBorder="1"/>
    <x:xf numFmtId="0" fontId="14" fillId="0" borderId="6" xfId="0" applyNumberFormat="1" applyFont="1" applyFill="1" applyBorder="1"/>
    <x:xf numFmtId="0" fontId="14" fillId="0" borderId="7" xfId="0" applyNumberFormat="1" applyFont="1" applyFill="1" applyBorder="1"/>
    <x:xf numFmtId="0" fontId="14" fillId="0" borderId="5" xfId="0" applyNumberFormat="1" applyFont="1" applyFill="1" applyBorder="1" applyAlignment="1">
      <x:alignment wrapText="1"/>
    </x:xf>
    <x:xf numFmtId="0" fontId="14" fillId="0" borderId="6" xfId="0" applyNumberFormat="1" applyFont="1" applyFill="1" applyBorder="1" applyAlignment="1">
      <x:alignment wrapText="1"/>
    </x:xf>
    <x:xf numFmtId="0" fontId="14" fillId="0" borderId="7" xfId="0" applyNumberFormat="1" applyFont="1" applyFill="1" applyBorder="1" applyAlignment="1">
      <x:alignment wrapText="1"/>
    </x:xf>
    <x:xf numFmtId="0" fontId="14" fillId="0" borderId="5" xfId="0" applyNumberFormat="1" applyFont="1" applyFill="1" applyBorder="1" applyAlignment="1">
      <x:alignment vertical="center" wrapText="1"/>
    </x:xf>
    <x:xf numFmtId="0" fontId="14" fillId="0" borderId="6" xfId="0" applyNumberFormat="1" applyFont="1" applyFill="1" applyBorder="1" applyAlignment="1">
      <x:alignment vertical="center" wrapText="1"/>
    </x:xf>
    <x:xf numFmtId="0" fontId="14" fillId="0" borderId="7" xfId="0" applyNumberFormat="1" applyFont="1" applyFill="1" applyBorder="1" applyAlignment="1">
      <x:alignment vertical="center" wrapText="1"/>
    </x:xf>
    <x:xf numFmtId="0" fontId="14" fillId="7" borderId="5" xfId="0" applyNumberFormat="1" applyFont="1" applyFill="1" applyBorder="1" applyAlignment="1">
      <x:alignment vertical="center" wrapText="1"/>
    </x:xf>
    <x:xf numFmtId="200" fontId="14" fillId="7" borderId="5" xfId="0" applyNumberFormat="1" applyFont="1" applyFill="1" applyBorder="1" applyAlignment="1">
      <x:alignment vertical="center" wrapText="1"/>
    </x:xf>
    <x:xf numFmtId="200" fontId="14" fillId="0" borderId="6" xfId="0" applyNumberFormat="1" applyFont="1" applyFill="1" applyBorder="1" applyAlignment="1">
      <x:alignment vertical="center" wrapText="1"/>
    </x:xf>
    <x:xf numFmtId="200" fontId="14" fillId="0" borderId="7" xfId="0" applyNumberFormat="1" applyFont="1" applyFill="1" applyBorder="1" applyAlignment="1">
      <x:alignment vertical="center" wrapText="1"/>
    </x:xf>
    <x:xf numFmtId="0" fontId="8" fillId="8" borderId="0" xfId="0" applyNumberFormat="1" applyFont="1" applyFill="1" applyBorder="1" applyAlignment="1">
      <x:alignment vertical="center"/>
    </x:xf>
    <x:xf numFmtId="0" fontId="9" fillId="9" borderId="0" xfId="0" applyNumberFormat="1" applyFont="1" applyFill="1" applyBorder="1" applyAlignment="1">
      <x:alignment vertical="center"/>
    </x:xf>
    <x:xf numFmtId="0" fontId="11" fillId="10" borderId="0" xfId="0" applyNumberFormat="1" applyFont="1" applyFill="1" applyBorder="1" applyAlignment="1">
      <x:alignment vertical="center"/>
    </x:xf>
    <x:xf numFmtId="0" fontId="13" fillId="8" borderId="0" xfId="0" applyNumberFormat="1" applyFont="1" applyFill="1" applyBorder="1" applyAlignment="1">
      <x:alignment vertical="center"/>
    </x:xf>
    <x:xf numFmtId="0" fontId="16" fillId="5" borderId="0" xfId="0" applyNumberFormat="1" applyFont="1" applyFill="1" applyBorder="1" applyAlignment="1">
      <x:alignment vertical="center" wrapText="1"/>
    </x:xf>
    <x:xf numFmtId="0" fontId="16" fillId="6" borderId="0" xfId="0" applyNumberFormat="1" applyFont="1" applyFill="1" applyBorder="1" applyAlignment="1">
      <x:alignment vertical="center" wrapText="1"/>
    </x:xf>
    <x:xf numFmtId="0" fontId="9" fillId="9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200" fontId="14" fillId="9" borderId="6" xfId="0" applyNumberFormat="1" applyFont="1" applyFill="1" applyBorder="1" applyAlignment="1">
      <x:alignment vertical="center" wrapText="1"/>
    </x:xf>
    <x:xf numFmtId="0" fontId="14" fillId="9" borderId="6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8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/>
    <x:xf numFmtId="0" fontId="19" fillId="11" borderId="0" xfId="0" applyNumberFormat="1" applyFont="1" applyFill="1" applyBorder="1"/>
    <x:xf numFmtId="0" fontId="19" fillId="11" borderId="0" xfId="0" applyNumberFormat="1" applyFont="1" applyFill="1" applyBorder="1" applyAlignment="1">
      <x:alignment wrapText="1"/>
    </x:xf>
    <x:xf numFmtId="0" fontId="19" fillId="11" borderId="0" xfId="0" applyNumberFormat="1" applyFont="1" applyFill="1" applyBorder="1" applyAlignment="1">
      <x:alignment vertical="center" wrapText="1"/>
    </x:xf>
    <x:xf numFmtId="0" fontId="19" fillId="11" xfId="0" applyNumberFormat="1" applyFont="1" applyFill="1" applyBorder="0" applyAlignment="1">
      <x:alignment vertical="center" wrapText="1"/>
    </x:xf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8" fillId="12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/>
    </x:xf>
    <x:xf numFmtId="0" fontId="11" fillId="14" borderId="0" xfId="0" applyNumberFormat="1" applyFont="1" applyFill="1" applyBorder="1" applyAlignment="1">
      <x:alignment vertical="center"/>
    </x:xf>
    <x:xf numFmtId="0" fontId="13" fillId="12" borderId="0" xfId="0" applyNumberFormat="1" applyFont="1" applyFill="1" applyBorder="1" applyAlignment="1">
      <x:alignment vertical="center"/>
    </x:xf>
    <x:xf numFmtId="0" fontId="9" fillId="13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200" fontId="14" fillId="13" borderId="6" xfId="0" applyNumberFormat="1" applyFont="1" applyFill="1" applyBorder="1" applyAlignment="1">
      <x:alignment vertical="center" wrapText="1"/>
    </x:xf>
    <x:xf numFmtId="0" fontId="14" fillId="13" borderId="6" xfId="0" applyNumberFormat="1" applyFont="1" applyFill="1" applyBorder="1" applyAlignment="1">
      <x:alignment vertical="center" wrapText="1"/>
    </x:xf>
    <x:xf numFmtId="200" fontId="20" fillId="13" borderId="6" xfId="0" applyNumberFormat="1" applyFont="1" applyFill="1" applyBorder="1" applyAlignment="1">
      <x:alignment vertical="center" wrapText="1"/>
    </x:xf>
    <x:xf numFmtId="0" fontId="20" fillId="13" borderId="6" xfId="0" applyNumberFormat="1" applyFont="1" applyFill="1" applyBorder="1" applyAlignment="1">
      <x:alignment vertical="center" wrapText="1"/>
    </x:xf>
    <x:xf numFmtId="0" fontId="17" fillId="12" borderId="0" xfId="0" applyNumberFormat="1" applyFont="1" applyFill="1" applyBorder="1" applyAlignment="1">
      <x:alignment vertical="center"/>
    </x:xf>
    <x:xf numFmtId="0" fontId="18" fillId="13" borderId="0" xfId="0" applyNumberFormat="1" applyFont="1" applyFill="1" applyBorder="1" applyAlignment="1">
      <x:alignment wrapText="1"/>
    </x:xf>
    <x:xf numFmtId="0" fontId="3" fillId="14" borderId="0" xfId="0" applyNumberFormat="1" applyFont="1" applyFill="1" applyBorder="1" applyAlignment="1">
      <x:alignment vertical="center"/>
    </x:xf>
    <x:xf numFmtId="0" fontId="19" fillId="15" xfId="0" applyNumberFormat="1" applyFont="1" applyFill="1" applyBorder="0" applyAlignment="1">
      <x:alignment vertical="center" wrapText="1"/>
    </x:xf>
    <x:xf numFmtId="0" fontId="3" fillId="14" borderId="0" xfId="0" applyNumberFormat="1" applyFont="1" applyFill="1" applyBorder="1"/>
    <x:xf numFmtId="0" fontId="19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0" fillId="17" borderId="0" xfId="0" applyNumberFormat="1" applyFont="1" applyFill="1" applyBorder="1"/>
    <x:xf numFmtId="0" fontId="21" fillId="17" borderId="0" xfId="0" applyNumberFormat="1" applyFont="1" applyFill="1" applyBorder="1"/>
    <x:xf numFmtId="0" fontId="21" fillId="17" borderId="0" xfId="0" applyNumberFormat="1" applyFont="1" applyFill="1" applyBorder="1" applyAlignment="1">
      <x:alignment wrapText="1"/>
    </x:xf>
    <x:xf numFmtId="0" fontId="21" fillId="17" borderId="0" xfId="0" applyNumberFormat="1" applyFont="1" applyFill="1" applyBorder="1" applyAlignment="1">
      <x:alignment vertical="center" wrapText="1"/>
    </x:xf>
    <x:xf numFmtId="0" fontId="0" fillId="18" borderId="0" xfId="0" applyNumberFormat="1" applyFont="1" applyFill="1" applyBorder="1"/>
    <x:xf numFmtId="0" fontId="18" fillId="18" borderId="0" xfId="0" applyNumberFormat="1" applyFont="1" applyFill="1" applyBorder="1"/>
    <x:xf numFmtId="0" fontId="18" fillId="18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22" fillId="19" borderId="0" xfId="0" applyNumberFormat="1" applyFont="1" applyFill="1" applyBorder="1"/>
    <x:xf numFmtId="0" fontId="22" fillId="19" borderId="0" xfId="0" applyNumberFormat="1" applyFont="1" applyFill="1" applyBorder="1" applyAlignment="1">
      <x:alignment vertical="center"/>
    </x:xf>
    <x:xf numFmtId="0" fontId="0" fillId="20" borderId="0" xfId="0" applyNumberFormat="1" applyFont="1" applyFill="1" applyBorder="1"/>
    <x:xf numFmtId="0" fontId="18" fillId="20" borderId="0" xfId="0" applyNumberFormat="1" applyFont="1" applyFill="1" applyBorder="1"/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0" fillId="22" borderId="0" xfId="0" applyNumberFormat="1" applyFont="1" applyFill="1" applyBorder="1"/>
    <x:xf numFmtId="0" fontId="19" fillId="22" borderId="0" xfId="0" applyNumberFormat="1" applyFont="1" applyFill="1" applyBorder="1"/>
    <x:xf numFmtId="0" fontId="19" fillId="22" borderId="0" xfId="0" applyNumberFormat="1" applyFont="1" applyFill="1" applyBorder="1" applyAlignment="1">
      <x:alignment wrapText="1"/>
    </x:xf>
    <x:xf numFmtId="0" fontId="19" fillId="22" borderId="0" xfId="0" applyNumberFormat="1" applyFont="1" applyFill="1" applyBorder="1" applyAlignment="1">
      <x:alignment vertical="center" wrapText="1"/>
    </x:xf>
    <x:xf numFmtId="0" fontId="3" fillId="19" borderId="0" xfId="0" applyNumberFormat="1" applyFont="1" applyFill="1" applyBorder="1"/>
    <x:xf numFmtId="0" fontId="23" fillId="20" borderId="0" xfId="0" applyNumberFormat="1" applyFont="1" applyFill="1" applyBorder="1"/>
    <x:xf numFmtId="0" fontId="23" fillId="20" borderId="0" xfId="0" applyNumberFormat="1" applyFont="1" applyFill="1" applyBorder="1" applyAlignment="1">
      <x:alignment wrapText="1"/>
    </x:xf>
    <x:xf numFmtId="0" fontId="23" fillId="20" borderId="0" xfId="0" applyNumberFormat="1" applyFont="1" applyFill="1" applyBorder="1" applyAlignment="1">
      <x:alignment vertical="center" wrapText="1"/>
    </x:xf>
    <x:xf numFmtId="0" fontId="3" fillId="21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4" fillId="23" borderId="0" xfId="0" applyNumberFormat="1" applyFont="1" applyFill="1" applyBorder="1"/>
    <x:xf numFmtId="0" fontId="24" fillId="23" borderId="0" xfId="0" applyNumberFormat="1" applyFont="1" applyFill="1" applyBorder="1" applyAlignment="1">
      <x:alignment wrapText="1"/>
    </x:xf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vertical="center"/>
    </x:xf>
    <x:xf numFmtId="0" fontId="18" fillId="23" borderId="0" xfId="0" applyNumberFormat="1" applyFont="1" applyFill="1" applyBorder="1"/>
    <x:xf numFmtId="0" fontId="18" fillId="23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3" fillId="25" borderId="0" xfId="0" applyNumberFormat="1" applyFont="1" applyFill="1" applyBorder="1"/>
    <x:xf numFmtId="0" fontId="3" fillId="25" borderId="0" xfId="0" applyNumberFormat="1" applyFont="1" applyFill="1" applyBorder="1" applyAlignment="1">
      <x:alignment wrapText="1"/>
    </x:xf>
    <x:xf numFmtId="0" fontId="0" fillId="26" borderId="0" xfId="0" applyNumberFormat="1" applyFont="1" applyFill="1" applyBorder="1"/>
    <x:xf numFmtId="0" fontId="19" fillId="26" borderId="0" xfId="0" applyNumberFormat="1" applyFont="1" applyFill="1" applyBorder="1"/>
    <x:xf numFmtId="0" fontId="19" fillId="26" borderId="8" xfId="0" applyNumberFormat="1" applyFont="1" applyFill="1" applyBorder="1"/>
    <x:xf numFmtId="0" fontId="19" fillId="26" borderId="8" xfId="0" applyNumberFormat="1" applyFont="1" applyFill="1" applyBorder="1" applyAlignment="1">
      <x:alignment wrapText="1"/>
    </x:xf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25" fillId="23" borderId="0" xfId="0" applyNumberFormat="1" applyFont="1" applyFill="1" applyBorder="1"/>
    <x:xf numFmtId="0" fontId="25" fillId="23" borderId="0" xfId="0" applyNumberFormat="1" applyFont="1" applyFill="1" applyBorder="1" applyAlignment="1">
      <x:alignment wrapText="1"/>
    </x:xf>
    <x:xf numFmtId="0" fontId="0" fillId="26" borderId="8" xfId="0" applyNumberFormat="1" applyFont="1" applyFill="1" applyBorder="1"/>
    <x:xf numFmtId="201" fontId="0" fillId="26" borderId="8" xfId="0" applyNumberFormat="1" applyFont="1" applyFill="1" applyBorder="1"/>
    <x:xf numFmtId="0" fontId="0" fillId="23" borderId="8" xfId="0" applyNumberFormat="1" applyFont="1" applyFill="1" applyBorder="1"/>
    <x:xf numFmtId="0" fontId="0" fillId="23" borderId="8" xfId="0" applyNumberFormat="1" applyFont="1" applyFill="1" applyBorder="1" applyAlignment="1">
      <x:alignment wrapText="1"/>
    </x:xf>
    <x:xf numFmtId="202" fontId="0" fillId="23" borderId="8" xfId="0" applyNumberFormat="1" applyFont="1" applyFill="1" applyBorder="1" applyAlignment="1">
      <x:alignment wrapText="1"/>
    </x:xf>
    <x:xf numFmtId="203" fontId="0" fillId="23" borderId="8" xfId="0" applyNumberFormat="1" applyFont="1" applyFill="1" applyBorder="1" applyAlignment="1">
      <x:alignment wrapText="1"/>
    </x:xf>
    <x:xf numFmtId="204" fontId="0" fillId="23" borderId="8" xfId="0" applyNumberFormat="1" applyFont="1" applyFill="1" applyBorder="1" applyAlignment="1">
      <x:alignment wrapText="1"/>
    </x:xf>
    <x:xf numFmtId="203" fontId="3" fillId="24" borderId="0" xfId="0" applyNumberFormat="1" applyFont="1" applyFill="1" applyBorder="1" applyAlignment="1">
      <x:alignment wrapText="1"/>
    </x:xf>
    <x:xf numFmtId="0" fontId="24" fillId="23" borderId="0" xfId="0" applyNumberFormat="1" applyFont="1" applyFill="1" applyBorder="1" applyAlignment="1">
      <x:alignment vertical="center" wrapText="1"/>
    </x:xf>
    <x:xf numFmtId="0" fontId="0" fillId="9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27" borderId="0" xfId="0" applyNumberFormat="1" applyFont="1" applyFill="1" applyBorder="1"/>
    <x:xf numFmtId="0" fontId="11" fillId="27" borderId="0" xfId="0" applyNumberFormat="1" applyFont="1" applyFill="1" applyBorder="1"/>
    <x:xf numFmtId="0" fontId="11" fillId="27" borderId="0" xfId="0" applyNumberFormat="1" applyFont="1" applyFill="1" applyBorder="1" applyAlignment="1">
      <x:alignment vertical="center"/>
    </x:xf>
    <x:xf numFmtId="0" fontId="0" fillId="28" borderId="0" xfId="0" applyNumberFormat="1" applyFont="1" applyFill="1" applyBorder="1"/>
    <x:xf numFmtId="0" fontId="11" fillId="28" borderId="0" xfId="0" applyNumberFormat="1" applyFont="1" applyFill="1" applyBorder="1"/>
    <x:xf numFmtId="0" fontId="11" fillId="28" borderId="0" xfId="0" applyNumberFormat="1" applyFont="1" applyFill="1" applyBorder="1" applyAlignment="1">
      <x:alignment wrapText="1"/>
    </x:xf>
    <x:xf numFmtId="0" fontId="11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/>
    <x:xf numFmtId="0" fontId="26" fillId="29" borderId="0" xfId="0" applyNumberFormat="1" applyFont="1" applyFill="1" applyBorder="1"/>
    <x:xf numFmtId="0" fontId="26" fillId="29" xfId="0" applyNumberFormat="1" applyFont="1" applyFill="1" applyBorder="0"/>
    <x:xf numFmtId="0" fontId="26" fillId="29" xfId="0" applyNumberFormat="1" applyFont="1" applyFill="1" applyBorder="0" applyAlignment="1">
      <x:alignment wrapText="1"/>
    </x:xf>
    <x:xf numFmtId="0" fontId="26" fillId="29" xfId="0" applyNumberFormat="1" applyFont="1" applyFill="1" applyBorder="0" applyAlignment="1">
      <x:alignment vertical="center" wrapText="1"/>
    </x:xf>
    <x:xf numFmtId="204" fontId="26" fillId="29" xfId="0" applyNumberFormat="1" applyFont="1" applyFill="1" applyBorder="0" applyAlignment="1">
      <x:alignment vertical="center" wrapText="1"/>
    </x:xf>
    <x:xf numFmtId="0" fontId="0" fillId="30" borderId="0" xfId="0" applyNumberFormat="1" applyFont="1" applyFill="1" applyBorder="1"/>
    <x:xf numFmtId="0" fontId="3" fillId="30" borderId="0" xfId="0" applyNumberFormat="1" applyFont="1" applyFill="1" applyBorder="1"/>
    <x:xf numFmtId="0" fontId="0" fillId="31" borderId="0" xfId="0" applyNumberFormat="1" applyFont="1" applyFill="1" applyBorder="1"/>
    <x:xf numFmtId="0" fontId="3" fillId="31" borderId="0" xfId="0" applyNumberFormat="1" applyFont="1" applyFill="1" applyBorder="1"/>
    <x:xf numFmtId="0" fontId="3" fillId="31" borderId="0" xfId="0" applyNumberFormat="1" applyFont="1" applyFill="1" applyBorder="1" applyAlignment="1">
      <x:alignment wrapText="1"/>
    </x:xf>
    <x:xf numFmtId="0" fontId="0" fillId="32" borderId="0" xfId="0" applyNumberFormat="1" applyFont="1" applyFill="1" applyBorder="1"/>
    <x:xf numFmtId="0" fontId="27" fillId="32" borderId="0" xfId="0" applyNumberFormat="1" applyFont="1" applyFill="1" applyBorder="1"/>
    <x:xf numFmtId="0" fontId="27" fillId="32" borderId="9" xfId="0" applyNumberFormat="1" applyFont="1" applyFill="1" applyBorder="1"/>
    <x:xf numFmtId="0" fontId="27" fillId="32" borderId="10" xfId="0" applyNumberFormat="1" applyFont="1" applyFill="1" applyBorder="1"/>
    <x:xf numFmtId="0" fontId="27" fillId="32" borderId="11" xfId="0" applyNumberFormat="1" applyFont="1" applyFill="1" applyBorder="1"/>
    <x:xf numFmtId="0" fontId="27" fillId="32" borderId="12" xfId="0" applyNumberFormat="1" applyFont="1" applyFill="1" applyBorder="1"/>
    <x:xf numFmtId="0" fontId="27" fillId="32" borderId="8" xfId="0" applyNumberFormat="1" applyFont="1" applyFill="1" applyBorder="1"/>
    <x:xf numFmtId="0" fontId="27" fillId="32" borderId="13" xfId="0" applyNumberFormat="1" applyFont="1" applyFill="1" applyBorder="1"/>
    <x:xf numFmtId="0" fontId="27" fillId="32" borderId="14" xfId="0" applyNumberFormat="1" applyFont="1" applyFill="1" applyBorder="1"/>
    <x:xf numFmtId="0" fontId="27" fillId="32" borderId="15" xfId="0" applyNumberFormat="1" applyFont="1" applyFill="1" applyBorder="1"/>
    <x:xf numFmtId="0" fontId="27" fillId="32" borderId="16" xfId="0" applyNumberFormat="1" applyFont="1" applyFill="1" applyBorder="1"/>
    <x:xf numFmtId="0" fontId="27" fillId="32" borderId="9" xfId="0" applyNumberFormat="1" applyFont="1" applyFill="1" applyBorder="1" applyAlignment="1">
      <x:alignment wrapText="1"/>
    </x:xf>
    <x:xf numFmtId="0" fontId="27" fillId="32" borderId="10" xfId="0" applyNumberFormat="1" applyFont="1" applyFill="1" applyBorder="1" applyAlignment="1">
      <x:alignment wrapText="1"/>
    </x:xf>
    <x:xf numFmtId="0" fontId="27" fillId="32" borderId="11" xfId="0" applyNumberFormat="1" applyFont="1" applyFill="1" applyBorder="1" applyAlignment="1">
      <x:alignment wrapText="1"/>
    </x:xf>
    <x:xf numFmtId="0" fontId="27" fillId="32" borderId="12" xfId="0" applyNumberFormat="1" applyFont="1" applyFill="1" applyBorder="1" applyAlignment="1">
      <x:alignment wrapText="1"/>
    </x:xf>
    <x:xf numFmtId="0" fontId="27" fillId="32" borderId="8" xfId="0" applyNumberFormat="1" applyFont="1" applyFill="1" applyBorder="1" applyAlignment="1">
      <x:alignment wrapText="1"/>
    </x:xf>
    <x:xf numFmtId="0" fontId="27" fillId="32" borderId="13" xfId="0" applyNumberFormat="1" applyFont="1" applyFill="1" applyBorder="1" applyAlignment="1">
      <x:alignment wrapText="1"/>
    </x:xf>
    <x:xf numFmtId="0" fontId="27" fillId="32" borderId="14" xfId="0" applyNumberFormat="1" applyFont="1" applyFill="1" applyBorder="1" applyAlignment="1">
      <x:alignment wrapText="1"/>
    </x:xf>
    <x:xf numFmtId="0" fontId="27" fillId="32" borderId="15" xfId="0" applyNumberFormat="1" applyFont="1" applyFill="1" applyBorder="1" applyAlignment="1">
      <x:alignment wrapText="1"/>
    </x:xf>
    <x:xf numFmtId="0" fontId="27" fillId="32" borderId="16" xfId="0" applyNumberFormat="1" applyFont="1" applyFill="1" applyBorder="1" applyAlignment="1">
      <x:alignment wrapText="1"/>
    </x:xf>
    <x:xf numFmtId="202" fontId="27" fillId="32" borderId="10" xfId="0" applyNumberFormat="1" applyFont="1" applyFill="1" applyBorder="1" applyAlignment="1">
      <x:alignment wrapText="1"/>
    </x:xf>
    <x:xf numFmtId="202" fontId="27" fillId="32" borderId="8" xfId="0" applyNumberFormat="1" applyFont="1" applyFill="1" applyBorder="1" applyAlignment="1">
      <x:alignment wrapText="1"/>
    </x:xf>
    <x:xf numFmtId="205" fontId="27" fillId="32" borderId="10" xfId="0" applyNumberFormat="1" applyFont="1" applyFill="1" applyBorder="1" applyAlignment="1">
      <x:alignment wrapText="1"/>
    </x:xf>
    <x:xf numFmtId="205" fontId="27" fillId="32" borderId="8" xfId="0" applyNumberFormat="1" applyFont="1" applyFill="1" applyBorder="1" applyAlignment="1">
      <x:alignment wrapText="1"/>
    </x:xf>
    <x:xf numFmtId="204" fontId="27" fillId="32" borderId="15" xfId="0" applyNumberFormat="1" applyFont="1" applyFill="1" applyBorder="1" applyAlignment="1">
      <x:alignment wrapText="1"/>
    </x:xf>
    <x:xf numFmtId="0" fontId="0" fillId="33" borderId="0" xfId="0" applyNumberFormat="1" applyFont="1" applyFill="1" applyBorder="1"/>
    <x:xf numFmtId="0" fontId="3" fillId="33" borderId="0" xfId="0" applyNumberFormat="1" applyFont="1" applyFill="1" applyBorder="1"/>
    <x:xf numFmtId="0" fontId="0" fillId="34" borderId="0" xfId="0" applyNumberFormat="1" applyFont="1" applyFill="1" applyBorder="1"/>
    <x:xf numFmtId="0" fontId="3" fillId="34" borderId="0" xfId="0" applyNumberFormat="1" applyFont="1" applyFill="1" applyBorder="1"/>
    <x:xf numFmtId="0" fontId="3" fillId="34" borderId="0" xfId="0" applyNumberFormat="1" applyFont="1" applyFill="1" applyBorder="1" applyAlignment="1">
      <x:alignment wrapText="1"/>
    </x:xf>
    <x:xf numFmtId="0" fontId="0" fillId="35" borderId="0" xfId="0" applyNumberFormat="1" applyFont="1" applyFill="1" applyBorder="1"/>
    <x:xf numFmtId="0" fontId="27" fillId="35" borderId="0" xfId="0" applyNumberFormat="1" applyFont="1" applyFill="1" applyBorder="1"/>
    <x:xf numFmtId="0" fontId="27" fillId="35" borderId="9" xfId="0" applyNumberFormat="1" applyFont="1" applyFill="1" applyBorder="1"/>
    <x:xf numFmtId="0" fontId="27" fillId="35" borderId="10" xfId="0" applyNumberFormat="1" applyFont="1" applyFill="1" applyBorder="1"/>
    <x:xf numFmtId="0" fontId="27" fillId="35" borderId="11" xfId="0" applyNumberFormat="1" applyFont="1" applyFill="1" applyBorder="1"/>
    <x:xf numFmtId="0" fontId="27" fillId="35" borderId="12" xfId="0" applyNumberFormat="1" applyFont="1" applyFill="1" applyBorder="1"/>
    <x:xf numFmtId="0" fontId="27" fillId="35" borderId="8" xfId="0" applyNumberFormat="1" applyFont="1" applyFill="1" applyBorder="1"/>
    <x:xf numFmtId="0" fontId="27" fillId="35" borderId="13" xfId="0" applyNumberFormat="1" applyFont="1" applyFill="1" applyBorder="1"/>
    <x:xf numFmtId="0" fontId="27" fillId="35" borderId="14" xfId="0" applyNumberFormat="1" applyFont="1" applyFill="1" applyBorder="1"/>
    <x:xf numFmtId="0" fontId="27" fillId="35" borderId="15" xfId="0" applyNumberFormat="1" applyFont="1" applyFill="1" applyBorder="1"/>
    <x:xf numFmtId="0" fontId="27" fillId="35" borderId="16" xfId="0" applyNumberFormat="1" applyFont="1" applyFill="1" applyBorder="1"/>
    <x:xf numFmtId="0" fontId="27" fillId="35" borderId="9" xfId="0" applyNumberFormat="1" applyFont="1" applyFill="1" applyBorder="1" applyAlignment="1">
      <x:alignment wrapText="1"/>
    </x:xf>
    <x:xf numFmtId="0" fontId="27" fillId="35" borderId="10" xfId="0" applyNumberFormat="1" applyFont="1" applyFill="1" applyBorder="1" applyAlignment="1">
      <x:alignment wrapText="1"/>
    </x:xf>
    <x:xf numFmtId="0" fontId="27" fillId="35" borderId="11" xfId="0" applyNumberFormat="1" applyFont="1" applyFill="1" applyBorder="1" applyAlignment="1">
      <x:alignment wrapText="1"/>
    </x:xf>
    <x:xf numFmtId="0" fontId="27" fillId="35" borderId="12" xfId="0" applyNumberFormat="1" applyFont="1" applyFill="1" applyBorder="1" applyAlignment="1">
      <x:alignment wrapText="1"/>
    </x:xf>
    <x:xf numFmtId="0" fontId="27" fillId="35" borderId="8" xfId="0" applyNumberFormat="1" applyFont="1" applyFill="1" applyBorder="1" applyAlignment="1">
      <x:alignment wrapText="1"/>
    </x:xf>
    <x:xf numFmtId="0" fontId="27" fillId="35" borderId="13" xfId="0" applyNumberFormat="1" applyFont="1" applyFill="1" applyBorder="1" applyAlignment="1">
      <x:alignment wrapText="1"/>
    </x:xf>
    <x:xf numFmtId="0" fontId="27" fillId="35" borderId="14" xfId="0" applyNumberFormat="1" applyFont="1" applyFill="1" applyBorder="1" applyAlignment="1">
      <x:alignment wrapText="1"/>
    </x:xf>
    <x:xf numFmtId="0" fontId="27" fillId="35" borderId="15" xfId="0" applyNumberFormat="1" applyFont="1" applyFill="1" applyBorder="1" applyAlignment="1">
      <x:alignment wrapText="1"/>
    </x:xf>
    <x:xf numFmtId="0" fontId="27" fillId="35" borderId="16" xfId="0" applyNumberFormat="1" applyFont="1" applyFill="1" applyBorder="1" applyAlignment="1">
      <x:alignment wrapText="1"/>
    </x:xf>
    <x:xf numFmtId="202" fontId="27" fillId="35" borderId="10" xfId="0" applyNumberFormat="1" applyFont="1" applyFill="1" applyBorder="1" applyAlignment="1">
      <x:alignment wrapText="1"/>
    </x:xf>
    <x:xf numFmtId="202" fontId="27" fillId="35" borderId="8" xfId="0" applyNumberFormat="1" applyFont="1" applyFill="1" applyBorder="1" applyAlignment="1">
      <x:alignment wrapText="1"/>
    </x:xf>
    <x:xf numFmtId="205" fontId="27" fillId="35" borderId="10" xfId="0" applyNumberFormat="1" applyFont="1" applyFill="1" applyBorder="1" applyAlignment="1">
      <x:alignment wrapText="1"/>
    </x:xf>
    <x:xf numFmtId="205" fontId="27" fillId="35" borderId="8" xfId="0" applyNumberFormat="1" applyFont="1" applyFill="1" applyBorder="1" applyAlignment="1">
      <x:alignment wrapText="1"/>
    </x:xf>
    <x:xf numFmtId="204" fontId="27" fillId="35" borderId="15" xfId="0" applyNumberFormat="1" applyFont="1" applyFill="1" applyBorder="1" applyAlignment="1">
      <x:alignment wrapText="1"/>
    </x:xf>
    <x:xf numFmtId="0" fontId="0" fillId="36" borderId="0" xfId="0" applyNumberFormat="1" applyFont="1" applyFill="1" applyBorder="1"/>
    <x:xf numFmtId="0" fontId="3" fillId="36" borderId="0" xfId="0" applyNumberFormat="1" applyFont="1" applyFill="1" applyBorder="1"/>
    <x:xf numFmtId="0" fontId="0" fillId="37" borderId="0" xfId="0" applyNumberFormat="1" applyFont="1" applyFill="1" applyBorder="1"/>
    <x:xf numFmtId="0" fontId="3" fillId="37" borderId="0" xfId="0" applyNumberFormat="1" applyFont="1" applyFill="1" applyBorder="1"/>
    <x:xf numFmtId="0" fontId="3" fillId="37" borderId="0" xfId="0" applyNumberFormat="1" applyFont="1" applyFill="1" applyBorder="1" applyAlignment="1">
      <x:alignment wrapText="1"/>
    </x:xf>
    <x:xf numFmtId="0" fontId="0" fillId="38" borderId="0" xfId="0" applyNumberFormat="1" applyFont="1" applyFill="1" applyBorder="1"/>
    <x:xf numFmtId="0" fontId="27" fillId="38" borderId="0" xfId="0" applyNumberFormat="1" applyFont="1" applyFill="1" applyBorder="1"/>
    <x:xf numFmtId="0" fontId="27" fillId="38" borderId="9" xfId="0" applyNumberFormat="1" applyFont="1" applyFill="1" applyBorder="1"/>
    <x:xf numFmtId="0" fontId="27" fillId="38" borderId="10" xfId="0" applyNumberFormat="1" applyFont="1" applyFill="1" applyBorder="1"/>
    <x:xf numFmtId="0" fontId="27" fillId="38" borderId="11" xfId="0" applyNumberFormat="1" applyFont="1" applyFill="1" applyBorder="1"/>
    <x:xf numFmtId="0" fontId="27" fillId="38" borderId="12" xfId="0" applyNumberFormat="1" applyFont="1" applyFill="1" applyBorder="1"/>
    <x:xf numFmtId="0" fontId="27" fillId="38" borderId="8" xfId="0" applyNumberFormat="1" applyFont="1" applyFill="1" applyBorder="1"/>
    <x:xf numFmtId="0" fontId="27" fillId="38" borderId="13" xfId="0" applyNumberFormat="1" applyFont="1" applyFill="1" applyBorder="1"/>
    <x:xf numFmtId="0" fontId="27" fillId="38" borderId="14" xfId="0" applyNumberFormat="1" applyFont="1" applyFill="1" applyBorder="1"/>
    <x:xf numFmtId="0" fontId="27" fillId="38" borderId="15" xfId="0" applyNumberFormat="1" applyFont="1" applyFill="1" applyBorder="1"/>
    <x:xf numFmtId="0" fontId="27" fillId="38" borderId="16" xfId="0" applyNumberFormat="1" applyFont="1" applyFill="1" applyBorder="1"/>
    <x:xf numFmtId="0" fontId="27" fillId="38" borderId="9" xfId="0" applyNumberFormat="1" applyFont="1" applyFill="1" applyBorder="1" applyAlignment="1">
      <x:alignment wrapText="1"/>
    </x:xf>
    <x:xf numFmtId="0" fontId="27" fillId="38" borderId="10" xfId="0" applyNumberFormat="1" applyFont="1" applyFill="1" applyBorder="1" applyAlignment="1">
      <x:alignment wrapText="1"/>
    </x:xf>
    <x:xf numFmtId="0" fontId="27" fillId="38" borderId="11" xfId="0" applyNumberFormat="1" applyFont="1" applyFill="1" applyBorder="1" applyAlignment="1">
      <x:alignment wrapText="1"/>
    </x:xf>
    <x:xf numFmtId="0" fontId="27" fillId="38" borderId="12" xfId="0" applyNumberFormat="1" applyFont="1" applyFill="1" applyBorder="1" applyAlignment="1">
      <x:alignment wrapText="1"/>
    </x:xf>
    <x:xf numFmtId="0" fontId="27" fillId="38" borderId="8" xfId="0" applyNumberFormat="1" applyFont="1" applyFill="1" applyBorder="1" applyAlignment="1">
      <x:alignment wrapText="1"/>
    </x:xf>
    <x:xf numFmtId="0" fontId="27" fillId="38" borderId="13" xfId="0" applyNumberFormat="1" applyFont="1" applyFill="1" applyBorder="1" applyAlignment="1">
      <x:alignment wrapText="1"/>
    </x:xf>
    <x:xf numFmtId="0" fontId="27" fillId="38" borderId="14" xfId="0" applyNumberFormat="1" applyFont="1" applyFill="1" applyBorder="1" applyAlignment="1">
      <x:alignment wrapText="1"/>
    </x:xf>
    <x:xf numFmtId="0" fontId="27" fillId="38" borderId="15" xfId="0" applyNumberFormat="1" applyFont="1" applyFill="1" applyBorder="1" applyAlignment="1">
      <x:alignment wrapText="1"/>
    </x:xf>
    <x:xf numFmtId="0" fontId="27" fillId="38" borderId="16" xfId="0" applyNumberFormat="1" applyFont="1" applyFill="1" applyBorder="1" applyAlignment="1">
      <x:alignment wrapText="1"/>
    </x:xf>
    <x:xf numFmtId="202" fontId="27" fillId="38" borderId="10" xfId="0" applyNumberFormat="1" applyFont="1" applyFill="1" applyBorder="1" applyAlignment="1">
      <x:alignment wrapText="1"/>
    </x:xf>
    <x:xf numFmtId="202" fontId="27" fillId="38" borderId="8" xfId="0" applyNumberFormat="1" applyFont="1" applyFill="1" applyBorder="1" applyAlignment="1">
      <x:alignment wrapText="1"/>
    </x:xf>
    <x:xf numFmtId="205" fontId="27" fillId="38" borderId="10" xfId="0" applyNumberFormat="1" applyFont="1" applyFill="1" applyBorder="1" applyAlignment="1">
      <x:alignment wrapText="1"/>
    </x:xf>
    <x:xf numFmtId="205" fontId="27" fillId="38" borderId="8" xfId="0" applyNumberFormat="1" applyFont="1" applyFill="1" applyBorder="1" applyAlignment="1">
      <x:alignment wrapText="1"/>
    </x:xf>
    <x:xf numFmtId="204" fontId="27" fillId="38" borderId="15" xfId="0" applyNumberFormat="1" applyFont="1" applyFill="1" applyBorder="1" applyAlignment="1">
      <x:alignment wrapText="1"/>
    </x:xf>
    <x:xf numFmtId="0" fontId="18" fillId="20" borderId="0" xfId="0" applyNumberFormat="1" applyFont="1" applyFill="1" applyBorder="1" applyAlignment="1">
      <x:alignment wrapText="1"/>
    </x:xf>
    <x:xf numFmtId="202" fontId="0" fillId="26" borderId="8" xfId="0" applyNumberFormat="1" applyFont="1" applyFill="1" applyBorder="1"/>
    <x:xf numFmtId="204" fontId="0" fillId="26" borderId="8" xfId="0" applyNumberFormat="1" applyFont="1" applyFill="1" applyBorder="1"/>
    <x:xf numFmtId="0" fontId="9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155E4A"/>
      </x:font>
      <x:fill>
        <x:patternFill>
          <x:bgColor rgb="FFDDF4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ca9268682e4b56" /><Relationship Type="http://schemas.openxmlformats.org/officeDocument/2006/relationships/theme" Target="/xl/theme/theme1.xml" Id="Rf71fb1cbfcd14344" /><Relationship Type="http://schemas.openxmlformats.org/officeDocument/2006/relationships/sharedStrings" Target="/xl/sharedStrings.xml" Id="Rd9f03e956bfd4a21" /><Relationship Type="http://schemas.openxmlformats.org/officeDocument/2006/relationships/worksheet" Target="/xl/worksheets/sheet1.xml" Id="Rfec8358089b948e1" /><Relationship Type="http://schemas.openxmlformats.org/officeDocument/2006/relationships/worksheet" Target="/xl/worksheets/sheet2.xml" Id="Rb7289f092d934d7f" /><Relationship Type="http://schemas.openxmlformats.org/officeDocument/2006/relationships/worksheet" Target="/xl/worksheets/sheet3.xml" Id="Reaa0020b0c6241df" /><Relationship Type="http://schemas.openxmlformats.org/officeDocument/2006/relationships/worksheet" Target="/xl/worksheets/sheet4.xml" Id="Rb750ccf55f95421a" /><Relationship Type="http://schemas.openxmlformats.org/officeDocument/2006/relationships/worksheet" Target="/xl/worksheets/sheet5.xml" Id="R0a4f181c0e0344d4" /><Relationship Type="http://schemas.openxmlformats.org/officeDocument/2006/relationships/worksheet" Target="/xl/worksheets/sheet6.xml" Id="R2a147ef9eba14e88" /><Relationship Type="http://schemas.openxmlformats.org/officeDocument/2006/relationships/worksheet" Target="/xl/worksheets/sheet7.xml" Id="R11bdd89afaeb45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6" customHeight="1">
      <x:c r="A1" s="100" t="str">
        <x:v>Synthetic Reliability Report</x:v>
      </x:c>
      <x:c r="B1" s="100"/>
      <x:c r="C1" s="100"/>
      <x:c r="D1" s="100"/>
      <x:c r="E1" s="100"/>
      <x:c r="F1" s="100"/>
      <x:c r="G1" s="100"/>
      <x:c r="H1" s="43"/>
    </x:row>
    <x:row r="2" ht="26" customHeight="1">
      <x:c r="A2" s="100"/>
      <x:c r="B2" s="100"/>
      <x:c r="C2" s="100"/>
      <x:c r="D2" s="100"/>
      <x:c r="E2" s="100"/>
      <x:c r="F2" s="100"/>
      <x:c r="G2" s="100"/>
      <x:c r="H2" s="43"/>
    </x:row>
    <x:row r="3" ht="36" customHeight="1">
      <x:c r="A3" s="80" t="str">
        <x:v>Personal portfolio case study by Thomas Ryan. Not an official PepperBall publication. Synthetic demonstration; no production connection.</x:v>
      </x:c>
      <x:c r="B3" s="80"/>
      <x:c r="C3" s="80"/>
      <x:c r="D3" s="80"/>
      <x:c r="E3" s="80"/>
      <x:c r="F3" s="80"/>
      <x:c r="G3" s="80"/>
      <x:c r="H3" s="277"/>
    </x:row>
    <x:row r="4">
      <x:c r="A4" s="45"/>
      <x:c r="B4" s="45"/>
      <x:c r="C4" s="45"/>
      <x:c r="D4" s="45"/>
      <x:c r="E4" s="45"/>
      <x:c r="F4" s="45"/>
      <x:c r="G4" s="45"/>
      <x:c r="H4" s="45"/>
    </x:row>
    <x:row r="5" ht="34" customHeight="1">
      <x:c r="A5" s="102" t="str">
        <x:v>Total governed writes</x:v>
      </x:c>
      <x:c r="B5" s="102" t="str"/>
      <x:c r="C5" s="102" t="str">
        <x:v>Equivalent replay writes</x:v>
      </x:c>
      <x:c r="D5" s="102" t="str"/>
      <x:c r="E5" s="102" t="str">
        <x:v>Final remote version</x:v>
      </x:c>
      <x:c r="F5" s="102" t="str"/>
      <x:c r="G5" s="102" t="str">
        <x:v>Overlapping writers</x:v>
      </x:c>
      <x:c r="H5" s="46" t="str"/>
    </x:row>
    <x:row r="6" ht="28" customHeight="1">
      <x:c r="A6" s="47" t="n">
        <x:f>SUM('Recovery Trace'!F2:F7)</x:f>
        <x:v>2</x:v>
      </x:c>
      <x:c r="B6" s="48" t="str"/>
      <x:c r="C6" s="47" t="n">
        <x:f>'Recovery Trace'!F4+'Recovery Trace'!F6</x:f>
        <x:v>0</x:v>
      </x:c>
      <x:c r="D6" s="48" t="str"/>
      <x:c r="E6" s="47" t="n">
        <x:f>MAX('Recovery Trace'!E2:E7)</x:f>
        <x:v>2</x:v>
      </x:c>
      <x:c r="F6" s="48" t="str"/>
      <x:c r="G6" s="47" t="n">
        <x:f>SUM('Recovery Trace'!I2:I7)</x:f>
        <x:v>0</x:v>
      </x:c>
      <x:c r="H6" s="48" t="str"/>
    </x:row>
    <x:row r="7" ht="28" customHeight="1">
      <x:c r="A7" s="49"/>
      <x:c r="B7" s="50"/>
      <x:c r="C7" s="49"/>
      <x:c r="D7" s="50"/>
      <x:c r="E7" s="49"/>
      <x:c r="F7" s="50"/>
      <x:c r="G7" s="49"/>
      <x:c r="H7" s="50"/>
    </x:row>
    <x:row r="8">
      <x:c r="A8" s="45"/>
      <x:c r="B8" s="45"/>
      <x:c r="C8" s="45"/>
      <x:c r="D8" s="45"/>
      <x:c r="E8" s="45"/>
      <x:c r="F8" s="45"/>
      <x:c r="G8" s="45"/>
      <x:c r="H8" s="45"/>
    </x:row>
    <x:row r="9" ht="28" customHeight="1">
      <x:c r="A9" s="103" t="str">
        <x:v>Reliability controls demonstrated</x:v>
      </x:c>
      <x:c r="B9" s="103"/>
      <x:c r="C9" s="103"/>
      <x:c r="D9" s="103"/>
      <x:c r="E9" s="103"/>
      <x:c r="F9" s="103"/>
      <x:c r="G9" s="103"/>
      <x:c r="H9" s="51"/>
    </x:row>
    <x:row r="10" ht="28" customHeight="1">
      <x:c r="A10" s="102" t="str">
        <x:v>Invariant</x:v>
      </x:c>
      <x:c r="B10" s="102" t="str">
        <x:v>Mechanism</x:v>
      </x:c>
      <x:c r="C10" s="102" t="str">
        <x:v>Synthetic result</x:v>
      </x:c>
      <x:c r="D10" s="102" t="str">
        <x:v>Boundary</x:v>
      </x:c>
      <x:c r="E10" s="102" t="str"/>
      <x:c r="F10" s="102" t="str"/>
      <x:c r="G10" s="102" t="str"/>
      <x:c r="H10" s="46" t="str"/>
    </x:row>
    <x:row r="11" ht="44" customHeight="1">
      <x:c r="A11" s="52" t="str">
        <x:v>Equivalent replay</x:v>
      </x:c>
      <x:c r="B11" s="52" t="str">
        <x:v>Governed material identity</x:v>
      </x:c>
      <x:c r="C11" s="78" t="str">
        <x:v>Exact no-op / zero writes</x:v>
      </x:c>
      <x:c r="D11" s="52" t="str">
        <x:v>Capture-only metadata cannot authorize publication</x:v>
      </x:c>
      <x:c r="E11" s="52"/>
      <x:c r="F11" s="52"/>
      <x:c r="G11" s="52"/>
      <x:c r="H11" s="52"/>
    </x:row>
    <x:row r="12" ht="44" customHeight="1">
      <x:c r="A12" s="54" t="str">
        <x:v>Lost response</x:v>
      </x:c>
      <x:c r="B12" s="54" t="str">
        <x:v>Retained candidate plus GET</x:v>
      </x:c>
      <x:c r="C12" s="79" t="str">
        <x:v>Settled / zero retry writes</x:v>
      </x:c>
      <x:c r="D12" s="54" t="str">
        <x:v>Ambiguity reduces write authority</x:v>
      </x:c>
      <x:c r="E12" s="54"/>
      <x:c r="F12" s="54"/>
      <x:c r="G12" s="54"/>
      <x:c r="H12" s="54"/>
    </x:row>
    <x:row r="13" ht="44" customHeight="1">
      <x:c r="A13" s="52" t="str">
        <x:v>Late source</x:v>
      </x:c>
      <x:c r="B13" s="52" t="str">
        <x:v>Durable expected output</x:v>
      </x:c>
      <x:c r="C13" s="78" t="str">
        <x:v>Same item advanced once</x:v>
      </x:c>
      <x:c r="D13" s="52" t="str">
        <x:v>Missing stays missing until evidence arrives</x:v>
      </x:c>
      <x:c r="E13" s="52"/>
      <x:c r="F13" s="52"/>
      <x:c r="G13" s="52"/>
      <x:c r="H13" s="52"/>
    </x:row>
    <x:row r="14" ht="44" customHeight="1">
      <x:c r="A14" s="54" t="str">
        <x:v>Writer overlap</x:v>
      </x:c>
      <x:c r="B14" s="54" t="str">
        <x:v>Exclusive writer lease</x:v>
      </x:c>
      <x:c r="C14" s="79" t="str">
        <x:v>Second writer refused</x:v>
      </x:c>
      <x:c r="D14" s="54" t="str">
        <x:v>Optional work cannot hold the publication lease</x:v>
      </x:c>
      <x:c r="E14" s="54"/>
      <x:c r="F14" s="54"/>
      <x:c r="G14" s="54"/>
      <x:c r="H14" s="54"/>
    </x:row>
    <x:row r="15" ht="44" customHeight="1">
      <x:c r="A15" s="52" t="str">
        <x:v>Release regression</x:v>
      </x:c>
      <x:c r="B15" s="52" t="str">
        <x:v>Immutable prior release</x:v>
      </x:c>
      <x:c r="C15" s="78" t="str">
        <x:v>Exact rollback restored</x:v>
      </x:c>
      <x:c r="D15" s="52" t="str">
        <x:v>No rebuild during incident recovery</x:v>
      </x:c>
      <x:c r="E15" s="52"/>
      <x:c r="F15" s="52"/>
      <x:c r="G15" s="52"/>
      <x:c r="H15" s="52"/>
    </x:row>
    <x:row r="16">
      <x:c r="A16" s="45"/>
      <x:c r="B16" s="45"/>
      <x:c r="C16" s="45"/>
      <x:c r="D16" s="45"/>
      <x:c r="E16" s="45"/>
      <x:c r="F16" s="45"/>
      <x:c r="G16" s="45"/>
      <x:c r="H16" s="45"/>
    </x:row>
    <x:row r="17" ht="42" customHeight="1">
      <x:c r="A17" s="104" t="str">
        <x:v>Claim boundary: this workbook demonstrates reliability behavior only; it does not represent production data, financial impact, or blanket accuracy.</x:v>
      </x:c>
      <x:c r="B17" s="104"/>
      <x:c r="C17" s="104"/>
      <x:c r="D17" s="104"/>
      <x:c r="E17" s="104"/>
      <x:c r="F17" s="104"/>
      <x:c r="G17" s="104"/>
      <x:c r="H17" s="56"/>
    </x:row>
  </x:sheetData>
  <x:mergeCells>
    <x:mergeCell ref="A1:H2"/>
    <x:mergeCell ref="A3:H3"/>
    <x:mergeCell ref="A5:B5"/>
    <x:mergeCell ref="C5:D5"/>
    <x:mergeCell ref="E5:F5"/>
    <x:mergeCell ref="G5:H5"/>
    <x:mergeCell ref="A6:B7"/>
    <x:mergeCell ref="C6:D7"/>
    <x:mergeCell ref="E6:F7"/>
    <x:mergeCell ref="G6:H7"/>
    <x:mergeCell ref="A9:H9"/>
    <x:mergeCell ref="D10:H10"/>
    <x:mergeCell ref="D11:H11"/>
    <x:mergeCell ref="D12:H12"/>
    <x:mergeCell ref="D13:H13"/>
    <x:mergeCell ref="D14:H14"/>
    <x:mergeCell ref="D15:H15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37" hidden="0" customWidth="1"/>
    <x:col min="3" max="3" width="19" hidden="0" customWidth="1"/>
    <x:col min="4" max="4" width="17" hidden="0" customWidth="1"/>
    <x:col min="5" max="5" width="16" hidden="0" customWidth="1"/>
    <x:col min="6" max="6" width="10" hidden="0" customWidth="1"/>
    <x:col min="7" max="7" width="18" hidden="0" customWidth="1"/>
    <x:col min="8" max="8" width="17" hidden="0" customWidth="1"/>
    <x:col min="9" max="9" width="16" hidden="0" customWidth="1"/>
  </x:cols>
  <x:sheetData>
    <x:row r="1" ht="34" customHeight="1">
      <x:c r="A1" s="105" t="str">
        <x:v>Step</x:v>
      </x:c>
      <x:c r="B1" s="105" t="str">
        <x:v>Event</x:v>
      </x:c>
      <x:c r="C1" s="105" t="str">
        <x:v>State</x:v>
      </x:c>
      <x:c r="D1" s="105" t="str">
        <x:v>Material</x:v>
      </x:c>
      <x:c r="E1" s="105" t="str">
        <x:v>Remote version</x:v>
      </x:c>
      <x:c r="F1" s="105" t="str">
        <x:v>Writes</x:v>
      </x:c>
      <x:c r="G1" s="105" t="str">
        <x:v>Settlement</x:v>
      </x:c>
      <x:c r="H1" s="105" t="str">
        <x:v>Result</x:v>
      </x:c>
      <x:c r="I1" s="105" t="str">
        <x:v>Writer overlap</x:v>
      </x:c>
    </x:row>
    <x:row r="2" ht="42" customHeight="1">
      <x:c r="A2" s="71" t="n">
        <x:v>1</x:v>
      </x:c>
      <x:c r="B2" s="70" t="str">
        <x:v>Expected output; source incomplete</x:v>
      </x:c>
      <x:c r="C2" s="70" t="str">
        <x:v>pending_source</x:v>
      </x:c>
      <x:c r="D2" s="70" t="str">
        <x:v>none</x:v>
      </x:c>
      <x:c r="E2" s="71" t="n">
        <x:v>0</x:v>
      </x:c>
      <x:c r="F2" s="71" t="n">
        <x:v>0</x:v>
      </x:c>
      <x:c r="G2" s="70" t="str">
        <x:v>none</x:v>
      </x:c>
      <x:c r="H2" s="70" t="str">
        <x:v>pending</x:v>
      </x:c>
      <x:c r="I2" s="71" t="n">
        <x:v>0</x:v>
      </x:c>
    </x:row>
    <x:row r="3" ht="42" customHeight="1">
      <x:c r="A3" s="72" t="n">
        <x:v>2</x:v>
      </x:c>
      <x:c r="B3" s="68" t="str">
        <x:v>Qualified source arrives</x:v>
      </x:c>
      <x:c r="C3" s="68" t="str">
        <x:v>certified</x:v>
      </x:c>
      <x:c r="D3" s="68" t="str">
        <x:v>material-a</x:v>
      </x:c>
      <x:c r="E3" s="72" t="n">
        <x:v>1</x:v>
      </x:c>
      <x:c r="F3" s="72" t="n">
        <x:v>1</x:v>
      </x:c>
      <x:c r="G3" s="68" t="str">
        <x:v>exact GET</x:v>
      </x:c>
      <x:c r="H3" s="68" t="str">
        <x:v>created</x:v>
      </x:c>
      <x:c r="I3" s="72" t="n">
        <x:v>0</x:v>
      </x:c>
    </x:row>
    <x:row r="4" ht="42" customHeight="1">
      <x:c r="A4" s="108" t="n">
        <x:v>3</x:v>
      </x:c>
      <x:c r="B4" s="109" t="str">
        <x:v>Equivalent capture marker changes</x:v>
      </x:c>
      <x:c r="C4" s="109" t="str">
        <x:v>certified</x:v>
      </x:c>
      <x:c r="D4" s="109" t="str">
        <x:v>material-a</x:v>
      </x:c>
      <x:c r="E4" s="108" t="n">
        <x:v>1</x:v>
      </x:c>
      <x:c r="F4" s="108" t="n">
        <x:v>0</x:v>
      </x:c>
      <x:c r="G4" s="109" t="str">
        <x:v>exact GET</x:v>
      </x:c>
      <x:c r="H4" s="109" t="str">
        <x:v>exact no-op</x:v>
      </x:c>
      <x:c r="I4" s="108" t="n">
        <x:v>0</x:v>
      </x:c>
    </x:row>
    <x:row r="5" ht="42" customHeight="1">
      <x:c r="A5" s="72" t="n">
        <x:v>4</x:v>
      </x:c>
      <x:c r="B5" s="68" t="str">
        <x:v>Governed facts change; response lost</x:v>
      </x:c>
      <x:c r="C5" s="68" t="str">
        <x:v>certified</x:v>
      </x:c>
      <x:c r="D5" s="68" t="str">
        <x:v>material-b</x:v>
      </x:c>
      <x:c r="E5" s="72" t="n">
        <x:v>2</x:v>
      </x:c>
      <x:c r="F5" s="72" t="n">
        <x:v>1</x:v>
      </x:c>
      <x:c r="G5" s="68" t="str">
        <x:v>GET only</x:v>
      </x:c>
      <x:c r="H5" s="68" t="str">
        <x:v>settled</x:v>
      </x:c>
      <x:c r="I5" s="72" t="n">
        <x:v>0</x:v>
      </x:c>
    </x:row>
    <x:row r="6" ht="42" customHeight="1">
      <x:c r="A6" s="108" t="n">
        <x:v>5</x:v>
      </x:c>
      <x:c r="B6" s="109" t="str">
        <x:v>Equivalent replay after settlement</x:v>
      </x:c>
      <x:c r="C6" s="109" t="str">
        <x:v>certified</x:v>
      </x:c>
      <x:c r="D6" s="109" t="str">
        <x:v>material-b</x:v>
      </x:c>
      <x:c r="E6" s="108" t="n">
        <x:v>2</x:v>
      </x:c>
      <x:c r="F6" s="108" t="n">
        <x:v>0</x:v>
      </x:c>
      <x:c r="G6" s="109" t="str">
        <x:v>exact GET</x:v>
      </x:c>
      <x:c r="H6" s="109" t="str">
        <x:v>exact no-op</x:v>
      </x:c>
      <x:c r="I6" s="108" t="n">
        <x:v>0</x:v>
      </x:c>
    </x:row>
    <x:row r="7" ht="42" customHeight="1">
      <x:c r="A7" s="73" t="n">
        <x:v>6</x:v>
      </x:c>
      <x:c r="B7" s="69" t="str">
        <x:v>Successor regression</x:v>
      </x:c>
      <x:c r="C7" s="69" t="str">
        <x:v>restored</x:v>
      </x:c>
      <x:c r="D7" s="69" t="str">
        <x:v>release-a</x:v>
      </x:c>
      <x:c r="E7" s="73" t="n">
        <x:v>2</x:v>
      </x:c>
      <x:c r="F7" s="73" t="n">
        <x:v>0</x:v>
      </x:c>
      <x:c r="G7" s="69" t="str">
        <x:v>topology check</x:v>
      </x:c>
      <x:c r="H7" s="69" t="str">
        <x:v>exact rollback</x:v>
      </x:c>
      <x:c r="I7" s="73" t="n">
        <x:v>0</x:v>
      </x:c>
    </x:row>
  </x:sheetData>
  <x:conditionalFormatting sqref="A3:I7">
    <x:cfRule type="expression" dxfId="0" priority="1">
      <x:formula>$H3="exact no-op"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110" t="str">
        <x:v>Prepared outputs for human review and action</x:v>
      </x:c>
      <x:c r="B1" s="110"/>
      <x:c r="C1" s="110"/>
      <x:c r="D1" s="110"/>
      <x:c r="E1" s="110"/>
      <x:c r="F1" s="110"/>
      <x:c r="G1" s="110"/>
      <x:c r="H1" s="110"/>
    </x:row>
    <x:row r="2" ht="30" customHeight="1">
      <x:c r="A2" s="110"/>
      <x:c r="B2" s="110"/>
      <x:c r="C2" s="110"/>
      <x:c r="D2" s="110"/>
      <x:c r="E2" s="110"/>
      <x:c r="F2" s="110"/>
      <x:c r="G2" s="110"/>
      <x:c r="H2" s="110"/>
    </x:row>
    <x:row r="3" ht="30" customHeight="1">
      <x:c r="A3" s="111" t="str">
        <x:v>Synthetic portfolio guide — no production connection; the platform supports decisions and does not make them.</x:v>
      </x:c>
      <x:c r="B3" s="111"/>
      <x:c r="C3" s="111"/>
      <x:c r="D3" s="111"/>
      <x:c r="E3" s="111"/>
      <x:c r="F3" s="111"/>
      <x:c r="G3" s="111"/>
      <x:c r="H3" s="111"/>
    </x:row>
    <x:row r="5" ht="24" customHeight="1">
      <x:c r="A5" s="112" t="str">
        <x:v>OUTPUT</x:v>
      </x:c>
      <x:c r="B5" s="112" t="str"/>
      <x:c r="C5" s="112" t="str">
        <x:v>PRIMARY USER</x:v>
      </x:c>
      <x:c r="D5" s="112" t="str"/>
      <x:c r="E5" s="112" t="str">
        <x:v>WHAT AUTOMATION PREPARES</x:v>
      </x:c>
      <x:c r="F5" s="112" t="str"/>
      <x:c r="G5" s="112" t="str">
        <x:v>HUMAN USE</x:v>
      </x:c>
      <x:c r="H5" s="112" t="str"/>
    </x:row>
    <x:row r="6" ht="48" customHeight="1">
      <x:c r="A6" s="113" t="str">
        <x:v>Shift Drafts</x:v>
      </x:c>
      <x:c r="B6" s="113" t="str"/>
      <x:c r="C6" s="113" t="str">
        <x:v>Supervisors</x:v>
      </x:c>
      <x:c r="D6" s="113" t="str"/>
      <x:c r="E6" s="113" t="str">
        <x:v>Collection, reconciliation, organization, spreadsheet preparation</x:v>
      </x:c>
      <x:c r="F6" s="113" t="str"/>
      <x:c r="G6" s="113" t="str">
        <x:v>Review exceptions, add context, finalize</x:v>
      </x:c>
      <x:c r="H6" s="113" t="str"/>
    </x:row>
    <x:row r="7" ht="48" customHeight="1">
      <x:c r="A7" s="113" t="str">
        <x:v>Daily Production Reports</x:v>
      </x:c>
      <x:c r="B7" s="113" t="str"/>
      <x:c r="C7" s="113" t="str">
        <x:v>Managers</x:v>
      </x:c>
      <x:c r="D7" s="113" t="str"/>
      <x:c r="E7" s="113" t="str">
        <x:v>Production, molding, labor, quality, plan attainment, downtime</x:v>
      </x:c>
      <x:c r="F7" s="113" t="str"/>
      <x:c r="G7" s="113" t="str">
        <x:v>Investigate constraints; prioritize staffing, plan, maintenance, or coordination follow-up</x:v>
      </x:c>
      <x:c r="H7" s="113" t="str"/>
    </x:row>
    <x:row r="8" ht="48" customHeight="1">
      <x:c r="A8" s="113" t="str">
        <x:v>Weekly Production Reports</x:v>
      </x:c>
      <x:c r="B8" s="113" t="str"/>
      <x:c r="C8" s="113" t="str">
        <x:v>Managers / teams</x:v>
      </x:c>
      <x:c r="D8" s="113" t="str"/>
      <x:c r="E8" s="113" t="str">
        <x:v>Comparable period views and source-linked trends</x:v>
      </x:c>
      <x:c r="F8" s="113" t="str"/>
      <x:c r="G8" s="113" t="str">
        <x:v>Capacity and labor planning; process improvement; weekly reviews</x:v>
      </x:c>
      <x:c r="H8" s="113" t="str"/>
    </x:row>
    <x:row r="9" ht="48" customHeight="1">
      <x:c r="A9" s="113" t="str">
        <x:v>Weekly Downtime Reports</x:v>
      </x:c>
      <x:c r="B9" s="113" t="str"/>
      <x:c r="C9" s="113" t="str">
        <x:v>Managers / maintenance</x:v>
      </x:c>
      <x:c r="D9" s="113" t="str"/>
      <x:c r="E9" s="113" t="str">
        <x:v>Recurring-versus-isolated event patterns and downtime evidence</x:v>
      </x:c>
      <x:c r="F9" s="113" t="str"/>
      <x:c r="G9" s="113" t="str">
        <x:v>Maintenance prioritization; meetings; shift handoffs</x:v>
      </x:c>
      <x:c r="H9" s="113" t="str"/>
    </x:row>
    <x:row r="11" ht="38" customHeight="1">
      <x:c r="A11" s="105" t="str">
        <x:v>Operational input → ingestion → reconciliation and source linkage → validation → prepared output → human review → operational action</x:v>
      </x:c>
      <x:c r="B11" s="105"/>
      <x:c r="C11" s="105"/>
      <x:c r="D11" s="105"/>
      <x:c r="E11" s="105"/>
      <x:c r="F11" s="105"/>
      <x:c r="G11" s="105"/>
      <x:c r="H11" s="105"/>
    </x:row>
    <x:row r="13">
      <x:c r="A13" s="117" t="str">
        <x:v>MODELED OPERATIONAL VALUE</x:v>
      </x:c>
      <x:c r="B13" s="117"/>
      <x:c r="C13" s="117"/>
      <x:c r="D13" s="117"/>
      <x:c r="E13" s="117"/>
      <x:c r="F13" s="117"/>
      <x:c r="G13" s="117"/>
      <x:c r="H13" s="117"/>
    </x:row>
    <x:row r="14" ht="30" customHeight="1">
      <x:c r="A14" s="121" t="str">
        <x:v>30 hours/week of reporting effort addressed, representing about $52K in modeled annual labor-capacity value. Underlying company-specific assumptions are omitted from this public case study.</x:v>
      </x:c>
      <x:c r="B14" s="121"/>
      <x:c r="C14" s="121"/>
      <x:c r="D14" s="121"/>
      <x:c r="E14" s="121"/>
      <x:c r="F14" s="121"/>
      <x:c r="G14" s="121"/>
      <x:c r="H14" s="121"/>
    </x:row>
    <x:row r="15" ht="30" customHeight="1">
      <x:c r="A15" s="121"/>
      <x:c r="B15" s="121"/>
      <x:c r="C15" s="121"/>
      <x:c r="D15" s="121"/>
      <x:c r="E15" s="121"/>
      <x:c r="F15" s="121"/>
      <x:c r="G15" s="121"/>
      <x:c r="H15" s="121"/>
    </x:row>
    <x:row r="16" ht="30" customHeight="1">
      <x:c r="A16" s="121"/>
      <x:c r="B16" s="121"/>
      <x:c r="C16" s="121"/>
      <x:c r="D16" s="121"/>
      <x:c r="E16" s="121"/>
      <x:c r="F16" s="121"/>
      <x:c r="G16" s="121"/>
      <x:c r="H16" s="121"/>
    </x:row>
    <x:row r="18">
      <x:c r="A18" s="124" t="str">
        <x:v>Planning opportunity—not booked savings, autonomous decisions, or a guaranteed outcome.</x:v>
      </x:c>
      <x:c r="B18" s="124"/>
      <x:c r="C18" s="124"/>
      <x:c r="D18" s="124"/>
      <x:c r="E18" s="124"/>
      <x:c r="F18" s="124"/>
      <x:c r="G18" s="124"/>
      <x:c r="H18" s="124"/>
    </x:row>
  </x:sheetData>
  <x:mergeCells>
    <x:mergeCell ref="A1:H2"/>
    <x:mergeCell ref="A3:H3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D8"/>
    <x:mergeCell ref="E8:F8"/>
    <x:mergeCell ref="G8:H8"/>
    <x:mergeCell ref="A9:B9"/>
    <x:mergeCell ref="C9:D9"/>
    <x:mergeCell ref="E9:F9"/>
    <x:mergeCell ref="G9:H9"/>
    <x:mergeCell ref="A11:H11"/>
    <x:mergeCell ref="A13:D13"/>
    <x:mergeCell ref="E13:H13"/>
    <x:mergeCell ref="A14:D16"/>
    <x:mergeCell ref="E14:H16"/>
    <x:mergeCell ref="A18:H18"/>
    <x:mergeCell ref="A13:H13"/>
    <x:mergeCell ref="A14:H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27" t="str">
        <x:v>Functional Reporting Assistant - evidence and boundaries</x:v>
      </x:c>
      <x:c r="B1" s="127"/>
      <x:c r="C1" s="127"/>
      <x:c r="D1" s="127"/>
      <x:c r="E1" s="127"/>
      <x:c r="F1" s="127"/>
      <x:c r="G1" s="127"/>
      <x:c r="H1" s="127"/>
    </x:row>
    <x:row r="2">
      <x:c r="A2" s="127"/>
      <x:c r="B2" s="127"/>
      <x:c r="C2" s="127"/>
      <x:c r="D2" s="127"/>
      <x:c r="E2" s="127"/>
      <x:c r="F2" s="127"/>
      <x:c r="G2" s="127"/>
      <x:c r="H2" s="127"/>
    </x:row>
    <x:row r="3" ht="38" customHeight="1">
      <x:c r="A3" s="274" t="str">
        <x:v>Delivered read-only extension: answers bounded, source-grounded queries with structured responses, validated citations, diagnostics, evidence validation, and deterministic refusal. Broader model-backed and advisory capabilities remain future work.</x:v>
      </x:c>
      <x:c r="B3" s="274"/>
      <x:c r="C3" s="274"/>
      <x:c r="D3" s="274"/>
      <x:c r="E3" s="274"/>
      <x:c r="F3" s="274"/>
      <x:c r="G3" s="274"/>
      <x:c r="H3" s="274"/>
    </x:row>
    <x:row r="5">
      <x:c r="A5" s="131" t="str">
        <x:v>SUBSYSTEM</x:v>
      </x:c>
      <x:c r="B5" s="131"/>
      <x:c r="C5" s="131" t="str">
        <x:v>FUNCTIONAL PURPOSE</x:v>
      </x:c>
      <x:c r="D5" s="131"/>
      <x:c r="E5" s="131" t="str">
        <x:v>VALIDATED BOUNDARY</x:v>
      </x:c>
      <x:c r="F5" s="131"/>
      <x:c r="G5" s="131" t="str">
        <x:v>VALUE / FUTURE SIGNAL</x:v>
      </x:c>
      <x:c r="H5" s="131" t="str"/>
    </x:row>
    <x:row r="6" ht="46" customHeight="1">
      <x:c r="A6" s="135" t="str">
        <x:v>Chatbot retrieval</x:v>
      </x:c>
      <x:c r="B6" s="135"/>
      <x:c r="C6" s="135" t="str">
        <x:v>Answer bounded source-grounded queries</x:v>
      </x:c>
      <x:c r="D6" s="135"/>
      <x:c r="E6" s="135" t="str">
        <x:v>Validated citations and deterministic fallback</x:v>
      </x:c>
      <x:c r="F6" s="135"/>
      <x:c r="G6" s="135" t="str">
        <x:v>Estimated ~90% retrieval scenario</x:v>
      </x:c>
      <x:c r="H6" s="135" t="str"/>
    </x:row>
    <x:row r="7" ht="46" customHeight="1">
      <x:c r="A7" s="135" t="str">
        <x:v>Report doctor</x:v>
      </x:c>
      <x:c r="B7" s="135"/>
      <x:c r="C7" s="135" t="str">
        <x:v>Expected-output and exception diagnostics</x:v>
      </x:c>
      <x:c r="D7" s="135"/>
      <x:c r="E7" s="135" t="str">
        <x:v>Read-only; no repair or publication</x:v>
      </x:c>
      <x:c r="F7" s="135"/>
      <x:c r="G7" s="135" t="str">
        <x:v>Faster investigation</x:v>
      </x:c>
      <x:c r="H7" s="135" t="str"/>
    </x:row>
    <x:row r="8" ht="46" customHeight="1">
      <x:c r="A8" s="135" t="str">
        <x:v>Governed oracle</x:v>
      </x:c>
      <x:c r="B8" s="135"/>
      <x:c r="C8" s="135" t="str">
        <x:v>Contract-bound evidence validation</x:v>
      </x:c>
      <x:c r="D8" s="135"/>
      <x:c r="E8" s="135" t="str">
        <x:v>Missing or ambiguous evidence fails closed</x:v>
      </x:c>
      <x:c r="F8" s="135"/>
      <x:c r="G8" s="135" t="str">
        <x:v>Consistent evidence checks</x:v>
      </x:c>
      <x:c r="H8" s="135" t="str"/>
    </x:row>
    <x:row r="10" ht="42" customHeight="1">
      <x:c r="A10" s="143" t="str">
        <x:v>Status boundary: the read-only assistant is functional and answers queries. It cannot write or publish reports or make operational decisions; broader model-backed reasoning, document knowledge, recurring artifacts, and advisory capabilities remain future work.</x:v>
      </x:c>
      <x:c r="B10" s="143"/>
      <x:c r="C10" s="143"/>
      <x:c r="D10" s="143"/>
      <x:c r="E10" s="143"/>
      <x:c r="F10" s="143"/>
      <x:c r="G10" s="143"/>
      <x:c r="H10" s="143"/>
    </x:row>
    <x:row r="11" ht="28" customHeight="1">
      <x:c r="A11"/>
      <x:c r="B11"/>
      <x:c r="C11"/>
      <x:c r="D11"/>
      <x:c r="E11"/>
      <x:c r="F11"/>
      <x:c r="G11"/>
      <x:c r="H11"/>
    </x:row>
    <x:row r="12" ht="28" customHeight="1">
      <x:c r="A12"/>
      <x:c r="B12"/>
      <x:c r="C12"/>
      <x:c r="D12"/>
      <x:c r="E12"/>
      <x:c r="F12"/>
      <x:c r="G12"/>
      <x:c r="H12"/>
    </x:row>
    <x:row r="13" ht="28" customHeight="1">
      <x:c r="A13"/>
      <x:c r="B13"/>
      <x:c r="C13"/>
      <x:c r="D13"/>
      <x:c r="E13"/>
      <x:c r="F13"/>
      <x:c r="G13"/>
      <x:c r="H13"/>
    </x:row>
    <x:row r="14" ht="28" customHeight="1">
      <x:c r="A14"/>
      <x:c r="B14"/>
      <x:c r="C14"/>
      <x:c r="D14"/>
      <x:c r="E14"/>
      <x:c r="F14"/>
      <x:c r="G14"/>
      <x:c r="H14"/>
    </x:row>
    <x:row r="16">
      <x:c r="A16"/>
      <x:c r="B16"/>
      <x:c r="C16"/>
      <x:c r="D16"/>
      <x:c r="E16"/>
      <x:c r="F16"/>
      <x:c r="G16"/>
      <x:c r="H16"/>
    </x:row>
  </x:sheetData>
  <x:mergeCells>
    <x:mergeCell ref="A1:H2"/>
    <x:mergeCell ref="A3:H3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D8"/>
    <x:mergeCell ref="E8:F8"/>
    <x:mergeCell ref="G8:H8"/>
    <x:mergeCell ref="A10:H10"/>
    <x:mergeCell ref="A11:H14"/>
    <x:mergeCell ref="A16:H1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6" t="str">
        <x:v>Source lineage - synthetic trace</x:v>
      </x:c>
      <x:c r="B1" s="146"/>
      <x:c r="C1" s="146"/>
      <x:c r="D1" s="146"/>
      <x:c r="E1" s="146"/>
      <x:c r="F1" s="146"/>
      <x:c r="G1" s="146"/>
      <x:c r="H1" s="146"/>
    </x:row>
    <x:row r="2">
      <x:c r="A2" s="146"/>
      <x:c r="B2" s="146"/>
      <x:c r="C2" s="146"/>
      <x:c r="D2" s="146"/>
      <x:c r="E2" s="146"/>
      <x:c r="F2" s="146"/>
      <x:c r="G2" s="146"/>
      <x:c r="H2" s="146"/>
    </x:row>
    <x:row r="3" ht="26" customHeight="1">
      <x:c r="A3" s="148" t="str">
        <x:v>A compact inspection path from governed input to prepared output. No production identifiers.</x:v>
      </x:c>
      <x:c r="B3" s="148"/>
      <x:c r="C3" s="148"/>
      <x:c r="D3" s="148"/>
      <x:c r="E3" s="148"/>
      <x:c r="F3" s="148"/>
      <x:c r="G3" s="148"/>
      <x:c r="H3" s="148"/>
    </x:row>
    <x:row r="5" ht="36" customHeight="1">
      <x:c r="A5" s="151" t="str">
        <x:v>TRACE ID</x:v>
      </x:c>
      <x:c r="B5" s="151" t="str">
        <x:v>SOURCE CATEGORY</x:v>
      </x:c>
      <x:c r="C5" s="151" t="str">
        <x:v>SOURCE FACT</x:v>
      </x:c>
      <x:c r="D5" s="151" t="str">
        <x:v>TRANSFORMATION</x:v>
      </x:c>
      <x:c r="E5" s="151" t="str">
        <x:v>REPORT FIELD</x:v>
      </x:c>
      <x:c r="F5" s="151" t="str">
        <x:v>OUTPUT</x:v>
      </x:c>
      <x:c r="G5" s="151" t="str">
        <x:v>EVIDENCE STATE</x:v>
      </x:c>
      <x:c r="H5" s="151" t="str">
        <x:v>REVIEW QUESTION</x:v>
      </x:c>
    </x:row>
    <x:row r="6" ht="56" customHeight="1">
      <x:c r="A6" s="155" t="str">
        <x:v>TR-001</x:v>
      </x:c>
      <x:c r="B6" s="155" t="str">
        <x:v>Hourly production</x:v>
      </x:c>
      <x:c r="C6" s="155" t="str">
        <x:v>1,240 good production units</x:v>
      </x:c>
      <x:c r="D6" s="155" t="str">
        <x:v>Normalize + reconcile</x:v>
      </x:c>
      <x:c r="E6" s="155" t="str">
        <x:v>Good production units</x:v>
      </x:c>
      <x:c r="F6" s="155" t="str">
        <x:v>Daily Production</x:v>
      </x:c>
      <x:c r="G6" s="155" t="str">
        <x:v>certified</x:v>
      </x:c>
      <x:c r="H6" s="155" t="str">
        <x:v>Does the total conserve source rows?</x:v>
      </x:c>
    </x:row>
    <x:row r="7" ht="56" customHeight="1">
      <x:c r="A7" s="155" t="str">
        <x:v>TR-002</x:v>
      </x:c>
      <x:c r="B7" s="155" t="str">
        <x:v>Quality</x:v>
      </x:c>
      <x:c r="C7" s="155" t="str">
        <x:v>12 rejected production units</x:v>
      </x:c>
      <x:c r="D7" s="155" t="str">
        <x:v>Preserve observed zero/missing semantics</x:v>
      </x:c>
      <x:c r="E7" s="155" t="str">
        <x:v>Rejected production units</x:v>
      </x:c>
      <x:c r="F7" s="155" t="str">
        <x:v>Daily Production</x:v>
      </x:c>
      <x:c r="G7" s="155" t="str">
        <x:v>certified</x:v>
      </x:c>
      <x:c r="H7" s="155" t="str">
        <x:v>Is missing evidence distinct from zero?</x:v>
      </x:c>
    </x:row>
    <x:row r="8" ht="56" customHeight="1">
      <x:c r="A8" s="155" t="str">
        <x:v>TR-003</x:v>
      </x:c>
      <x:c r="B8" s="155" t="str">
        <x:v>Machine event</x:v>
      </x:c>
      <x:c r="C8" s="155" t="str">
        <x:v>18-minute downtime</x:v>
      </x:c>
      <x:c r="D8" s="155" t="str">
        <x:v>Classify event + link machine</x:v>
      </x:c>
      <x:c r="E8" s="155" t="str">
        <x:v>Downtime minutes</x:v>
      </x:c>
      <x:c r="F8" s="155" t="str">
        <x:v>Weekly Downtime</x:v>
      </x:c>
      <x:c r="G8" s="155" t="str">
        <x:v>read back</x:v>
      </x:c>
      <x:c r="H8" s="155" t="str">
        <x:v>Does remote content match the candidate?</x:v>
      </x:c>
    </x:row>
    <x:row r="9" ht="56" customHeight="1">
      <x:c r="A9" s="155" t="str">
        <x:v>TR-004</x:v>
      </x:c>
      <x:c r="B9" s="155" t="str">
        <x:v>Labor note</x:v>
      </x:c>
      <x:c r="C9" s="155" t="str">
        <x:v>Shift context entered</x:v>
      </x:c>
      <x:c r="D9" s="155" t="str">
        <x:v>Attach source lineage</x:v>
      </x:c>
      <x:c r="E9" s="155" t="str">
        <x:v>Supervisor context</x:v>
      </x:c>
      <x:c r="F9" s="155" t="str">
        <x:v>Shift Draft</x:v>
      </x:c>
      <x:c r="G9" s="155" t="str">
        <x:v>human review</x:v>
      </x:c>
      <x:c r="H9" s="155" t="str">
        <x:v>What operational context must be added?</x:v>
      </x:c>
    </x:row>
    <x:row r="11" ht="36" customHeight="1">
      <x:c r="A11" s="157" t="str">
        <x:v>Inspection rule: an output may advance only when identity, source lineage, semantics, publication state, and readback evidence agree.</x:v>
      </x:c>
      <x:c r="B11" s="157"/>
      <x:c r="C11" s="157"/>
      <x:c r="D11" s="157"/>
      <x:c r="E11" s="157"/>
      <x:c r="F11" s="157"/>
      <x:c r="G11" s="157"/>
      <x:c r="H11" s="157"/>
    </x:row>
  </x:sheetData>
  <x:mergeCells>
    <x:mergeCell ref="A1:H2"/>
    <x:mergeCell ref="A3:H3"/>
    <x:mergeCell ref="A11:H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46" t="str">
        <x:v>Exception review - synthetic operator cases</x:v>
      </x:c>
      <x:c r="B1" s="146"/>
      <x:c r="C1" s="146"/>
      <x:c r="D1" s="146"/>
      <x:c r="E1" s="146"/>
      <x:c r="F1" s="146"/>
      <x:c r="G1" s="146"/>
      <x:c r="H1" s="146"/>
    </x:row>
    <x:row r="2">
      <x:c r="A2" s="146"/>
      <x:c r="B2" s="146"/>
      <x:c r="C2" s="146"/>
      <x:c r="D2" s="146"/>
      <x:c r="E2" s="146"/>
      <x:c r="F2" s="146"/>
      <x:c r="G2" s="146"/>
      <x:c r="H2" s="146"/>
    </x:row>
    <x:row r="3" ht="26" customHeight="1">
      <x:c r="A3" s="148" t="str">
        <x:v>Examples show what the system surfaces and what remains a human decision.</x:v>
      </x:c>
      <x:c r="B3" s="148"/>
      <x:c r="C3" s="148"/>
      <x:c r="D3" s="148"/>
      <x:c r="E3" s="148"/>
      <x:c r="F3" s="148"/>
      <x:c r="G3" s="148"/>
      <x:c r="H3" s="148"/>
    </x:row>
    <x:row r="5" ht="38" customHeight="1">
      <x:c r="A5" s="151" t="str">
        <x:v>CASE</x:v>
      </x:c>
      <x:c r="B5" s="151" t="str">
        <x:v>OBSERVED CONDITION</x:v>
      </x:c>
      <x:c r="C5" s="151" t="str">
        <x:v>SYSTEM CLASSIFICATION</x:v>
      </x:c>
      <x:c r="D5" s="151" t="str">
        <x:v>AUTOMATED BEHAVIOR</x:v>
      </x:c>
      <x:c r="E5" s="151" t="str">
        <x:v>HUMAN REVIEW</x:v>
      </x:c>
      <x:c r="F5" s="151" t="str">
        <x:v>WRITE AUTHORITY</x:v>
      </x:c>
      <x:c r="G5" s="151" t="str">
        <x:v>SAFE OUTCOME</x:v>
      </x:c>
      <x:c r="H5" s="151" t="str">
        <x:v>WHY IT MATTERS</x:v>
      </x:c>
    </x:row>
    <x:row r="6" ht="64" customHeight="1">
      <x:c r="A6" s="155" t="str">
        <x:v>EX-01</x:v>
      </x:c>
      <x:c r="B6" s="155" t="str">
        <x:v>Required source absent</x:v>
      </x:c>
      <x:c r="C6" s="155" t="str">
        <x:v>pending_source</x:v>
      </x:c>
      <x:c r="D6" s="155" t="str">
        <x:v>Retain expected output; do not publish</x:v>
      </x:c>
      <x:c r="E6" s="155" t="str">
        <x:v>Confirm source arrival or operational exception</x:v>
      </x:c>
      <x:c r="F6" s="155" t="str">
        <x:v>None</x:v>
      </x:c>
      <x:c r="G6" s="155" t="str">
        <x:v>Missing remains missing</x:v>
      </x:c>
      <x:c r="H6" s="155" t="str">
        <x:v>Prevents invented zeros</x:v>
      </x:c>
    </x:row>
    <x:row r="7" ht="64" customHeight="1">
      <x:c r="A7" s="155" t="str">
        <x:v>EX-02</x:v>
      </x:c>
      <x:c r="B7" s="155" t="str">
        <x:v>Equivalent replay</x:v>
      </x:c>
      <x:c r="C7" s="155" t="str">
        <x:v>exact_no_op</x:v>
      </x:c>
      <x:c r="D7" s="155" t="str">
        <x:v>Compare governed material identity</x:v>
      </x:c>
      <x:c r="E7" s="155" t="str">
        <x:v>No action unless context changed</x:v>
      </x:c>
      <x:c r="F7" s="155" t="str">
        <x:v>None</x:v>
      </x:c>
      <x:c r="G7" s="155" t="str">
        <x:v>Zero second write</x:v>
      </x:c>
      <x:c r="H7" s="155" t="str">
        <x:v>Avoids duplicate versions</x:v>
      </x:c>
    </x:row>
    <x:row r="8" ht="64" customHeight="1">
      <x:c r="A8" s="155" t="str">
        <x:v>EX-03</x:v>
      </x:c>
      <x:c r="B8" s="155" t="str">
        <x:v>Write accepted; response lost</x:v>
      </x:c>
      <x:c r="C8" s="155" t="str">
        <x:v>readback_pending</x:v>
      </x:c>
      <x:c r="D8" s="155" t="str">
        <x:v>GET exact item; never repeat PUT</x:v>
      </x:c>
      <x:c r="E8" s="155" t="str">
        <x:v>Review only if readback disagrees</x:v>
      </x:c>
      <x:c r="F8" s="155" t="str">
        <x:v>GET only</x:v>
      </x:c>
      <x:c r="G8" s="155" t="str">
        <x:v>Settle or fail closed</x:v>
      </x:c>
      <x:c r="H8" s="155" t="str">
        <x:v>Bounds ambiguity</x:v>
      </x:c>
    </x:row>
    <x:row r="9" ht="64" customHeight="1">
      <x:c r="A9" s="155" t="str">
        <x:v>EX-04</x:v>
      </x:c>
      <x:c r="B9" s="155" t="str">
        <x:v>Contract or lineage drift</x:v>
      </x:c>
      <x:c r="C9" s="155" t="str">
        <x:v>contract_refusal</x:v>
      </x:c>
      <x:c r="D9" s="155" t="str">
        <x:v>Stop interpretation/publication</x:v>
      </x:c>
      <x:c r="E9" s="155" t="str">
        <x:v>Investigate configuration or source change</x:v>
      </x:c>
      <x:c r="F9" s="155" t="str">
        <x:v>None</x:v>
      </x:c>
      <x:c r="G9" s="155" t="str">
        <x:v>Explicit refusal</x:v>
      </x:c>
      <x:c r="H9" s="155" t="str">
        <x:v>Prevents silent semantic drift</x:v>
      </x:c>
    </x:row>
    <x:row r="11" ht="38" customHeight="1">
      <x:c r="A11" s="159" t="str">
        <x:v>Decision boundary: the platform prepares, classifies, and refuses. Supervisors and managers interpret context and choose operational action.</x:v>
      </x:c>
      <x:c r="B11" s="159"/>
      <x:c r="C11" s="159"/>
      <x:c r="D11" s="159"/>
      <x:c r="E11" s="159"/>
      <x:c r="F11" s="159"/>
      <x:c r="G11" s="159"/>
      <x:c r="H11" s="159"/>
    </x:row>
  </x:sheetData>
  <x:mergeCells>
    <x:mergeCell ref="A1:H2"/>
    <x:mergeCell ref="A3:H3"/>
    <x:mergeCell ref="A11:H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8" hidden="0" customWidth="1"/>
    <x:col min="4" max="4" width="24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46" t="str">
        <x:v>Impact overview - qualified public estimates</x:v>
      </x:c>
      <x:c r="B1" s="146"/>
      <x:c r="C1" s="146"/>
      <x:c r="D1" s="146"/>
      <x:c r="E1" s="146"/>
      <x:c r="F1" s="146"/>
      <x:c r="G1" s="146"/>
      <x:c r="H1" s="146"/>
    </x:row>
    <x:row r="2">
      <x:c r="A2" s="146"/>
      <x:c r="B2" s="146"/>
      <x:c r="C2" s="146"/>
      <x:c r="D2" s="146"/>
      <x:c r="E2" s="146"/>
      <x:c r="F2" s="146"/>
      <x:c r="G2" s="146"/>
      <x:c r="H2" s="146"/>
    </x:row>
    <x:row r="3" ht="26" customHeight="1">
      <x:c r="A3" s="89" t="str">
        <x:v>Underlying company-specific assumptions are omitted from this public case study.</x:v>
      </x:c>
      <x:c r="B3" s="89"/>
      <x:c r="C3" s="89"/>
      <x:c r="D3" s="89"/>
      <x:c r="E3" s="89"/>
      <x:c r="F3" s="89"/>
      <x:c r="G3" s="89"/>
      <x:c r="H3" s="89"/>
    </x:row>
    <x:row r="5">
      <x:c r="A5" s="150" t="str">
        <x:v>VALUE AREA</x:v>
      </x:c>
      <x:c r="B5" s="150" t="str">
        <x:v>MEASURE</x:v>
      </x:c>
      <x:c r="C5" s="150" t="str">
        <x:v>ESTIMATE</x:v>
      </x:c>
      <x:c r="D5" s="150" t="str">
        <x:v>UNIT</x:v>
      </x:c>
      <x:c r="F5" s="156" t="str">
        <x:v>OUTPUT</x:v>
      </x:c>
      <x:c r="G5" s="156" t="str">
        <x:v>BASIS / LIMIT</x:v>
      </x:c>
      <x:c r="H5" s="156" t="str">
        <x:v>RESULT</x:v>
      </x:c>
    </x:row>
    <x:row r="6" ht="34" customHeight="1">
      <x:c r="A6" s="160" t="str">
        <x:v>Core reporting</x:v>
      </x:c>
      <x:c r="B6" s="160" t="str">
        <x:v>Weekly capacity</x:v>
      </x:c>
      <x:c r="C6" s="275" t="n">
        <x:v>30</x:v>
      </x:c>
      <x:c r="D6" s="160" t="str">
        <x:v>hours/week</x:v>
      </x:c>
      <x:c r="F6" s="163" t="str">
        <x:v>Labor hours/year</x:v>
      </x:c>
      <x:c r="G6" s="169" t="str">
        <x:v>Modeled annual capacity</x:v>
      </x:c>
      <x:c r="H6" s="164" t="n">
        <x:v>1560</x:v>
      </x:c>
    </x:row>
    <x:row r="7" ht="34" customHeight="1">
      <x:c r="A7" s="160" t="str">
        <x:v>Core reporting</x:v>
      </x:c>
      <x:c r="B7" s="160" t="str">
        <x:v>Annual capacity</x:v>
      </x:c>
      <x:c r="C7" s="275" t="n">
        <x:v>1560</x:v>
      </x:c>
      <x:c r="D7" s="160" t="str">
        <x:v>hours/year</x:v>
      </x:c>
      <x:c r="F7" s="163" t="str">
        <x:v>Modeled labor value</x:v>
      </x:c>
      <x:c r="G7" s="169" t="str">
        <x:v>Approximate modeled value</x:v>
      </x:c>
      <x:c r="H7" s="165" t="n">
        <x:v>52000</x:v>
      </x:c>
    </x:row>
    <x:row r="8" ht="34" customHeight="1">
      <x:c r="A8" s="160" t="str">
        <x:v>Core reporting</x:v>
      </x:c>
      <x:c r="B8" s="160" t="str">
        <x:v>Modeled annual value</x:v>
      </x:c>
      <x:c r="C8" s="275" t="n">
        <x:v>52000</x:v>
      </x:c>
      <x:c r="D8" s="160" t="str">
        <x:v>USD/year (approx.)</x:v>
      </x:c>
      <x:c r="F8" s="163" t="str">
        <x:v>Estimated assistant retrieval reduction</x:v>
      </x:c>
      <x:c r="G8" s="169" t="str">
        <x:v>Representative comparison; not a controlled benchmark</x:v>
      </x:c>
      <x:c r="H8" s="166" t="n">
        <x:v>0.9</x:v>
      </x:c>
    </x:row>
    <x:row r="9" ht="34" customHeight="1">
      <x:c r="A9" s="160" t="str">
        <x:v>Machine visibility</x:v>
      </x:c>
      <x:c r="B9" s="160" t="str">
        <x:v>Annual upper bound</x:v>
      </x:c>
      <x:c r="C9" s="275" t="n">
        <x:v>227500</x:v>
      </x:c>
      <x:c r="D9" s="160" t="str">
        <x:v>production units/year</x:v>
      </x:c>
      <x:c r="F9" s="163" t="str">
        <x:v>Machine-visibility production-unit opportunity</x:v>
      </x:c>
      <x:c r="G9" s="169" t="str">
        <x:v>Upper bound, not recovered production</x:v>
      </x:c>
      <x:c r="H9" s="164" t="n">
        <x:v>227500</x:v>
      </x:c>
    </x:row>
    <x:row r="10">
      <x:c r="A10" s="160" t="str">
        <x:v>Machine visibility</x:v>
      </x:c>
      <x:c r="B10" s="160" t="str">
        <x:v>Modeled margin</x:v>
      </x:c>
      <x:c r="C10" s="275" t="n">
        <x:v>205000</x:v>
      </x:c>
      <x:c r="D10" s="160" t="str">
        <x:v>USD/year (approx.)</x:v>
      </x:c>
      <x:c r="F10"/>
      <x:c r="G10" s="170"/>
    </x:row>
    <x:row r="11" ht="36" customHeight="1">
      <x:c r="A11" s="160" t="str">
        <x:v>Reporting Assistant</x:v>
      </x:c>
      <x:c r="B11" s="160" t="str">
        <x:v>Retrieval improvement</x:v>
      </x:c>
      <x:c r="C11" s="276" t="n">
        <x:v>0.9</x:v>
      </x:c>
      <x:c r="D11" s="160" t="str">
        <x:v>estimated reduction</x:v>
      </x:c>
      <x:c r="F11" s="157" t="str">
        <x:v>Machine-visibility contribution-margin opportunity</x:v>
      </x:c>
      <x:c r="G11" s="99" t="str">
        <x:v>Approximate upper bound, not realized margin</x:v>
      </x:c>
      <x:c r="H11" s="167" t="n">
        <x:v>205000</x:v>
      </x:c>
    </x:row>
    <x:row r="12">
      <x:c r="A12" s="160"/>
      <x:c r="B12" s="160"/>
      <x:c r="C12" s="161"/>
      <x:c r="D12" s="160"/>
    </x:row>
    <x:row r="13" ht="30" customHeight="1">
      <x:c r="A13" s="160"/>
      <x:c r="B13" s="160"/>
      <x:c r="C13" s="161"/>
      <x:c r="D13" s="160"/>
      <x:c r="F13" s="168" t="str">
        <x:v>Underlying company-specific assumptions are omitted from this public case study. The labor-capacity and machine-visibility models are separate and are not added together. Estimates do not establish company approval.</x:v>
      </x:c>
      <x:c r="G13" s="168"/>
      <x:c r="H13" s="168"/>
    </x:row>
    <x:row r="14" ht="30" customHeight="1">
      <x:c r="A14" s="160"/>
      <x:c r="B14" s="160"/>
      <x:c r="C14" s="161"/>
      <x:c r="D14" s="160"/>
      <x:c r="F14" s="168"/>
      <x:c r="G14" s="168"/>
      <x:c r="H14" s="168"/>
    </x:row>
    <x:row r="15" ht="30" customHeight="1">
      <x:c r="A15" s="160"/>
      <x:c r="B15" s="160"/>
      <x:c r="C15" s="161"/>
      <x:c r="D15" s="160"/>
      <x:c r="F15" s="168"/>
      <x:c r="G15" s="168"/>
      <x:c r="H15" s="168"/>
    </x:row>
    <x:row r="16">
      <x:c r="A16" s="160"/>
      <x:c r="B16" s="160"/>
      <x:c r="C16" s="161"/>
      <x:c r="D16" s="160"/>
    </x:row>
    <x:row r="18" ht="24" customHeight="1">
      <x:c r="A18" s="245" t="str">
        <x:v>STATUS AND CLAIM BOUNDARIES</x:v>
      </x:c>
      <x:c r="B18" s="245"/>
      <x:c r="C18" s="245"/>
      <x:c r="D18" s="245"/>
      <x:c r="E18" s="245"/>
      <x:c r="F18" s="245"/>
      <x:c r="G18" s="245"/>
      <x:c r="H18" s="245"/>
    </x:row>
    <x:row r="19" ht="30" customHeight="1">
      <x:c r="A19" s="248" t="str">
        <x:v>AREA</x:v>
      </x:c>
      <x:c r="B19" s="248" t="str">
        <x:v>STATUS</x:v>
      </x:c>
      <x:c r="C19" s="248" t="str">
        <x:v>PRIMARY RESULT</x:v>
      </x:c>
      <x:c r="D19" s="248" t="str">
        <x:v>UNIT</x:v>
      </x:c>
      <x:c r="E19" s="248" t="str">
        <x:v>RELATED VALUE</x:v>
      </x:c>
      <x:c r="F19" s="248" t="str">
        <x:v>CLASS</x:v>
      </x:c>
      <x:c r="G19" s="248" t="str">
        <x:v>SEPARATION</x:v>
      </x:c>
      <x:c r="H19" s="248" t="str">
        <x:v>LIMIT</x:v>
      </x:c>
    </x:row>
    <x:row r="20" ht="46" customHeight="1">
      <x:c r="A20" s="260" t="str">
        <x:v>Core reporting</x:v>
      </x:c>
      <x:c r="B20" s="261" t="str">
        <x:v>Delivered</x:v>
      </x:c>
      <x:c r="C20" s="269" t="n">
        <x:f>'Impact Model'!H6</x:f>
        <x:v>1560</x:v>
      </x:c>
      <x:c r="D20" s="261" t="str">
        <x:v>hours/year</x:v>
      </x:c>
      <x:c r="E20" s="271" t="n">
        <x:f>'Impact Model'!H7</x:f>
        <x:v>52000</x:v>
      </x:c>
      <x:c r="F20" s="261" t="str">
        <x:v>Modeled labor-capacity value</x:v>
      </x:c>
      <x:c r="G20" s="261" t="str">
        <x:v>Separate value pool</x:v>
      </x:c>
      <x:c r="H20" s="262" t="str">
        <x:v>Not booked savings</x:v>
      </x:c>
    </x:row>
    <x:row r="21" ht="46" customHeight="1">
      <x:c r="A21" s="263" t="str">
        <x:v>Machine visibility</x:v>
      </x:c>
      <x:c r="B21" s="264" t="str">
        <x:v>Delivered extension</x:v>
      </x:c>
      <x:c r="C21" s="270" t="n">
        <x:f>'Impact Model'!H9</x:f>
        <x:v>227500</x:v>
      </x:c>
      <x:c r="D21" s="264" t="str">
        <x:v>production units/year</x:v>
      </x:c>
      <x:c r="E21" s="272" t="n">
        <x:f>'Impact Model'!H11</x:f>
        <x:v>205000</x:v>
      </x:c>
      <x:c r="F21" s="264" t="str">
        <x:v>Modeled upper bound</x:v>
      </x:c>
      <x:c r="G21" s="264" t="str">
        <x:v>Separate value pool</x:v>
      </x:c>
      <x:c r="H21" s="265" t="str">
        <x:v>Not realized production or margin</x:v>
      </x:c>
    </x:row>
    <x:row r="22" ht="46" customHeight="1">
      <x:c r="A22" s="266" t="str">
        <x:v>Reporting Assistant</x:v>
      </x:c>
      <x:c r="B22" s="267" t="str">
        <x:v>Delivered read-only extension</x:v>
      </x:c>
      <x:c r="C22" s="273" t="n">
        <x:f>'Impact Model'!H8</x:f>
        <x:v>0.9</x:v>
      </x:c>
      <x:c r="D22" s="267" t="str">
        <x:v>retrieval reduction</x:v>
      </x:c>
      <x:c r="E22" s="267"/>
      <x:c r="F22" s="267" t="str">
        <x:v>Estimated scenario</x:v>
      </x:c>
      <x:c r="G22" s="267" t="str">
        <x:v>Separate; not controlled benchmark</x:v>
      </x:c>
      <x:c r="H22" s="268" t="str">
        <x:v>No write/advisory authority</x:v>
      </x:c>
    </x:row>
  </x:sheetData>
  <x:mergeCells>
    <x:mergeCell ref="A1:H2"/>
    <x:mergeCell ref="A3:H3"/>
    <x:mergeCell ref="F13:H16"/>
    <x:mergeCell ref="A18:H18"/>
  </x:mergeCells>
  <x:pageMargins left="0.7" right="0.7" top="0.75" bottom="0.75" header="0.3" footer="0.3"/>
</x:worksheet>
</file>